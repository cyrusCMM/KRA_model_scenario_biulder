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cuments\Q\KRA model\kra_forecast_model\inputs\"/>
    </mc:Choice>
  </mc:AlternateContent>
  <xr:revisionPtr revIDLastSave="0" documentId="8_{B95469A0-E890-421A-8BB6-519EFC0175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DME" sheetId="1" r:id="rId1"/>
    <sheet name="Control" sheetId="2" r:id="rId2"/>
    <sheet name="Macro_Baseline" sheetId="3" r:id="rId3"/>
    <sheet name="Elasticities" sheetId="4" r:id="rId4"/>
    <sheet name="Tax_Heads_Input" sheetId="5" r:id="rId5"/>
    <sheet name="Policy_Measures" sheetId="6" r:id="rId6"/>
    <sheet name="Targets" sheetId="7" r:id="rId7"/>
    <sheet name="CGE_Scenarios" sheetId="8" r:id="rId8"/>
    <sheet name="Annex_Template" sheetId="9" r:id="rId9"/>
    <sheet name="Validation_Check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0" l="1"/>
  <c r="B10" i="10"/>
  <c r="B9" i="10"/>
  <c r="B8" i="10"/>
  <c r="B7" i="10"/>
  <c r="B6" i="10"/>
  <c r="B5" i="10"/>
  <c r="B4" i="10"/>
  <c r="B3" i="10"/>
  <c r="B2" i="10"/>
  <c r="D15" i="3"/>
  <c r="C15" i="3"/>
  <c r="B15" i="3"/>
  <c r="D7" i="3"/>
  <c r="C7" i="3"/>
  <c r="B7" i="3"/>
  <c r="D6" i="3"/>
  <c r="C6" i="3"/>
  <c r="B6" i="3"/>
  <c r="D4" i="3"/>
  <c r="D16" i="3" s="1"/>
  <c r="C4" i="3"/>
  <c r="C16" i="3" s="1"/>
  <c r="B4" i="3"/>
  <c r="B16" i="3" s="1"/>
</calcChain>
</file>

<file path=xl/sharedStrings.xml><?xml version="1.0" encoding="utf-8"?>
<sst xmlns="http://schemas.openxmlformats.org/spreadsheetml/2006/main" count="598" uniqueCount="274">
  <si>
    <t>KRA Elasticity Forecast Engine - Input Workbook</t>
  </si>
  <si>
    <t>Purpose</t>
  </si>
  <si>
    <t>Input template for the Python-based medium-term revenue forecast engine. It preserves the baseline Excel/schema logic and adds a controlled Iran / Middle East conflict scenario layer for revenue shock analysis.</t>
  </si>
  <si>
    <t>How to use</t>
  </si>
  <si>
    <t>1) Update yellow cells only. 2) Keep internal tax-head names unchanged. 3) Select year, scenario, and mode in Control. 4) Enter or revise Iran / Middle East conflict shocks in CGE_Scenarios as decimal shocks (e.g., -0.020 for -2.0 pp). 5) Run the Python workflow against this workbook to produce forecast, scenario, monthly, dashboard, and export outputs.</t>
  </si>
  <si>
    <t>Key design rule</t>
  </si>
  <si>
    <t>Baseline mode preserves the current Excel/schema logic. Improved mode keeps the same baseline architecture but allows the enhanced driver columns already stored in Tax_Heads_Input to be used where applicable.</t>
  </si>
  <si>
    <t>Scenario rule</t>
  </si>
  <si>
    <t>Iran scenarios shock macro drivers only. Revenue logic, opening bases, bridge identities, policy additions, and targets remain governed by the same workbook schema.</t>
  </si>
  <si>
    <t>Target handling note</t>
  </si>
  <si>
    <t>Targets are exogenous. Policy measures are exogenous additive or subtractive adjustments at the applicable tax line. Blank targets are intentional and should remain blank rather than being coerced to zero.</t>
  </si>
  <si>
    <t>Bridge identities</t>
  </si>
  <si>
    <t>Import Excise Duty must reconcile to Excise Duty Oil + Excise Duty Ordinary + Less Provision for Refunds. VAT, imports must reconcile to VAT Imports Ordinary + VAT Imports Oil.</t>
  </si>
  <si>
    <t>Control governance</t>
  </si>
  <si>
    <t>Control is the official entry sheet for selected year, selected scenario, mode, current fiscal year, reference share year, scenario allocation mode, scenario duration months, and lock-actual-months choice.</t>
  </si>
  <si>
    <t>Scenario governance</t>
  </si>
  <si>
    <t>CGE_Scenarios is the official scenario source. Do not hardcode scenario shocks in Python or Streamlit once workbook-driven scenario loading is activated.</t>
  </si>
  <si>
    <t>Iran scenario set</t>
  </si>
  <si>
    <t>The workbook includes Baseline, Severe_1m, Severe_3m, Severe_gt3m, Corrective_3m, Corrective_gt3m, Oil_spike_only, Shipping_disruption_only, and Composite_Iran_War rows.</t>
  </si>
  <si>
    <t>Shock channels</t>
  </si>
  <si>
    <t>Core shock channels are GDP, deflator, CPI, wages, imports, exports, non-oil imports, oil volume, oil world price, profitability, and exchange-rate-sensitive proxy shock.</t>
  </si>
  <si>
    <t>Files</t>
  </si>
  <si>
    <t>This workbook is paired with Python scripts that read these sheets and produce forecast outputs, risk diagnostics, annex summaries, and scenario packs.</t>
  </si>
  <si>
    <t>Source reference</t>
  </si>
  <si>
    <t>Logic is based on the uploaded KRA model logic, elasticity mapping, modelling scheme workbook, and the governance instructions shared in this conversation.</t>
  </si>
  <si>
    <t>Final conventions</t>
  </si>
  <si>
    <t>Refund provision remains -480 unless intentionally changed. Changing workbook inputs should change the model; Python should not introduce hidden alternative tax logic.</t>
  </si>
  <si>
    <t>Purple fill</t>
  </si>
  <si>
    <t>Control selections / governance settings</t>
  </si>
  <si>
    <t>Control Item</t>
  </si>
  <si>
    <t>Value</t>
  </si>
  <si>
    <t>Selected Year</t>
  </si>
  <si>
    <t>2025/26</t>
  </si>
  <si>
    <t>Selected Scenario</t>
  </si>
  <si>
    <t>Baseline</t>
  </si>
  <si>
    <t>Mode</t>
  </si>
  <si>
    <t>baseline</t>
  </si>
  <si>
    <t>Current Fiscal Year</t>
  </si>
  <si>
    <t>Reference Share Year</t>
  </si>
  <si>
    <t>2024/25</t>
  </si>
  <si>
    <t>Scenario Allocation Mode</t>
  </si>
  <si>
    <t>remaining_only</t>
  </si>
  <si>
    <t>Scenario Duration Months</t>
  </si>
  <si>
    <t>Lock Actual Months</t>
  </si>
  <si>
    <t>Y</t>
  </si>
  <si>
    <t>Notes</t>
  </si>
  <si>
    <t>Baseline preserves schema; Iran scenarios shock macro drivers only. Edit yellow cells only.</t>
  </si>
  <si>
    <t>Variable</t>
  </si>
  <si>
    <t>2026/27</t>
  </si>
  <si>
    <t>2027/28</t>
  </si>
  <si>
    <t>Type</t>
  </si>
  <si>
    <t>Real GDP growth</t>
  </si>
  <si>
    <t>input</t>
  </si>
  <si>
    <t>2025/26 from shared logic; later years prefilled for review</t>
  </si>
  <si>
    <t>GDP deflator</t>
  </si>
  <si>
    <t>2025/26 from shared logic</t>
  </si>
  <si>
    <t>Nominal GDP growth</t>
  </si>
  <si>
    <t>formula</t>
  </si>
  <si>
    <t>Derived</t>
  </si>
  <si>
    <t>CPI</t>
  </si>
  <si>
    <t>Wage rate (% change)</t>
  </si>
  <si>
    <t>Workbook-style helper</t>
  </si>
  <si>
    <t>Bracket creep</t>
  </si>
  <si>
    <t>Proxy set equal to CPI unless changed in Python</t>
  </si>
  <si>
    <t>Import prices (% change)</t>
  </si>
  <si>
    <t>Placeholder if external price file unavailable</t>
  </si>
  <si>
    <t>Import prices excl. oil products</t>
  </si>
  <si>
    <t>Import Value Growth</t>
  </si>
  <si>
    <t>2025/26 from shared logic; later years review</t>
  </si>
  <si>
    <t>Export Value Growth</t>
  </si>
  <si>
    <t>Non oil import value growth (Dry)</t>
  </si>
  <si>
    <t>Can be overridden directly</t>
  </si>
  <si>
    <t>Oil (% volume change)</t>
  </si>
  <si>
    <t>Oil World price change (in US$)</t>
  </si>
  <si>
    <t>Oil value growth</t>
  </si>
  <si>
    <t>Implied profitability growth</t>
  </si>
  <si>
    <t>Current simplified assumption = nominal GDP growth</t>
  </si>
  <si>
    <t>Exchange rate change</t>
  </si>
  <si>
    <t>Scenario shock bridge helper</t>
  </si>
  <si>
    <t>Parameter</t>
  </si>
  <si>
    <t>tariff_non_oil</t>
  </si>
  <si>
    <t>Tariff revenue elasticity with respect to non-oil imports</t>
  </si>
  <si>
    <t>tariff_oil</t>
  </si>
  <si>
    <t>Tariff revenue elasticity with respect to oil</t>
  </si>
  <si>
    <t>vat_import_oil_gdp</t>
  </si>
  <si>
    <t>Baseline workbook-style VAT oil driver (baseline mode); improved mode can switch to oil value growth</t>
  </si>
  <si>
    <t>vat_import_non_oil</t>
  </si>
  <si>
    <t>VAT imports ordinary / non-oil imports</t>
  </si>
  <si>
    <t>vat_domestic_gdp</t>
  </si>
  <si>
    <t>Domestic VAT to nominal GDP proxy</t>
  </si>
  <si>
    <t>vat_domestic_cpi</t>
  </si>
  <si>
    <t>Optional enhanced domestic VAT inflation pass-through</t>
  </si>
  <si>
    <t>paye_gdp</t>
  </si>
  <si>
    <t>Stored for reference</t>
  </si>
  <si>
    <t>paye_wage</t>
  </si>
  <si>
    <t>PAYE to wage rate</t>
  </si>
  <si>
    <t>paye_bracket</t>
  </si>
  <si>
    <t>PAYE bracket creep</t>
  </si>
  <si>
    <t>other_income</t>
  </si>
  <si>
    <t>Other income taxes</t>
  </si>
  <si>
    <t>excise_oil_gdp</t>
  </si>
  <si>
    <t>Baseline oil excise elasticity</t>
  </si>
  <si>
    <t>excise_non_oil_imports</t>
  </si>
  <si>
    <t>Excise on non-oil imports</t>
  </si>
  <si>
    <t>excise_non_oil_domestic</t>
  </si>
  <si>
    <t>Excise on domestic/non-oil taxes</t>
  </si>
  <si>
    <t>idf_elasticity</t>
  </si>
  <si>
    <t>Default import-linked fee elasticity</t>
  </si>
  <si>
    <t>rdl_elasticity</t>
  </si>
  <si>
    <t>export_levy_elasticity</t>
  </si>
  <si>
    <t>Default export-linked levy elasticity</t>
  </si>
  <si>
    <t>proxy_nominal</t>
  </si>
  <si>
    <t>Default nominal-growth proxy for smaller heads without estimated elasticities</t>
  </si>
  <si>
    <t>traffic_proxy</t>
  </si>
  <si>
    <t>Traffic revenue proxy elasticity</t>
  </si>
  <si>
    <t>aal_default_growth</t>
  </si>
  <si>
    <t>Anti-adulteration levy simple growth assumption</t>
  </si>
  <si>
    <t>excise_oil_crude_price</t>
  </si>
  <si>
    <t>Oil excise elasticity with respect to oil world price change</t>
  </si>
  <si>
    <t>Required to match original Excel formula</t>
  </si>
  <si>
    <t>Department</t>
  </si>
  <si>
    <t>Revenue Type</t>
  </si>
  <si>
    <t>Internal Tax Head</t>
  </si>
  <si>
    <t>Annex Tax Head</t>
  </si>
  <si>
    <t>Actual 2024/25</t>
  </si>
  <si>
    <t>Formula Type</t>
  </si>
  <si>
    <t>Driver 1</t>
  </si>
  <si>
    <t>Elasticity 1</t>
  </si>
  <si>
    <t>Driver 2</t>
  </si>
  <si>
    <t>Elasticity 2</t>
  </si>
  <si>
    <t>Improved Driver 1</t>
  </si>
  <si>
    <t>Improved Elasticity 1</t>
  </si>
  <si>
    <t>Improved Driver 2</t>
  </si>
  <si>
    <t>Improved Elasticity 2</t>
  </si>
  <si>
    <t>Customs</t>
  </si>
  <si>
    <t>Exchequer</t>
  </si>
  <si>
    <t>Import Duty Ordinary (net)</t>
  </si>
  <si>
    <t>Import duty</t>
  </si>
  <si>
    <t>weighted_growth</t>
  </si>
  <si>
    <t>Net import duty line</t>
  </si>
  <si>
    <t>Excise Duty Oil</t>
  </si>
  <si>
    <t>Import Excise Duty</t>
  </si>
  <si>
    <t>excel_oil_excise</t>
  </si>
  <si>
    <t>Enhanced mode lets oil excise respond to oil value growth</t>
  </si>
  <si>
    <t>Excise Duty Ordinary</t>
  </si>
  <si>
    <t>Less Provision for Refunds</t>
  </si>
  <si>
    <t>constant</t>
  </si>
  <si>
    <t>Negative row; carried forward unless policy-adjusted</t>
  </si>
  <si>
    <t>VAT Imports Ordinary</t>
  </si>
  <si>
    <t>VAT, imports</t>
  </si>
  <si>
    <t>single_growth</t>
  </si>
  <si>
    <t>VAT Imports Oil</t>
  </si>
  <si>
    <t>Enhanced mode lets oil VAT respond to oil value growth</t>
  </si>
  <si>
    <t>Anti-adulteration levy</t>
  </si>
  <si>
    <t>fixed_growth</t>
  </si>
  <si>
    <t>Simple growth assumption</t>
  </si>
  <si>
    <t>IDF fees</t>
  </si>
  <si>
    <t>Export and Investment Promotion Levy</t>
  </si>
  <si>
    <t>Railway Development Levy</t>
  </si>
  <si>
    <t>Domestic</t>
  </si>
  <si>
    <t>PAYE</t>
  </si>
  <si>
    <t>excel_paye_compound</t>
  </si>
  <si>
    <t>Excludes Turnover Tax in this template</t>
  </si>
  <si>
    <t>Capital Gains Tax</t>
  </si>
  <si>
    <t>Domestic VAT</t>
  </si>
  <si>
    <t>excel_growth_cpi</t>
  </si>
  <si>
    <t>Can later be enhanced with CPI pass-through</t>
  </si>
  <si>
    <t>Excise Domestic</t>
  </si>
  <si>
    <t>excel_dual_additive_cpi</t>
  </si>
  <si>
    <t>Excise - Financial transactions</t>
  </si>
  <si>
    <t>Maps to money transfer target line</t>
  </si>
  <si>
    <t>Excise on Airtime</t>
  </si>
  <si>
    <t>excel_unit_growth_cpi</t>
  </si>
  <si>
    <t>Excise Betting Services</t>
  </si>
  <si>
    <t>Betting Tax</t>
  </si>
  <si>
    <t>Digital service tax</t>
  </si>
  <si>
    <t>Acts as DST proxy</t>
  </si>
  <si>
    <t>Rent of Land</t>
  </si>
  <si>
    <t>Stamp Duty</t>
  </si>
  <si>
    <t>Rental Income</t>
  </si>
  <si>
    <t>Turnover Tax</t>
  </si>
  <si>
    <t>Surplus Funds</t>
  </si>
  <si>
    <t>excel_cpi_then_gap</t>
  </si>
  <si>
    <t>Traffic</t>
  </si>
  <si>
    <t>Traffic exchequer Revenue</t>
  </si>
  <si>
    <t>Improved mode uses nominal GDP instead of real GDP</t>
  </si>
  <si>
    <t>FA 2025/26</t>
  </si>
  <si>
    <t>Admin 2025/26</t>
  </si>
  <si>
    <t>EACCMA 2025/26</t>
  </si>
  <si>
    <t>FA 2026/27</t>
  </si>
  <si>
    <t>Admin 2026/27</t>
  </si>
  <si>
    <t>EACCMA 2026/27</t>
  </si>
  <si>
    <t>FA 2027/28</t>
  </si>
  <si>
    <t>Admin 2027/28</t>
  </si>
  <si>
    <t>EACCMA 2027/28</t>
  </si>
  <si>
    <t>Enter exogenous impact if applicable</t>
  </si>
  <si>
    <t>Target 2025/26</t>
  </si>
  <si>
    <t>Target 2026/27</t>
  </si>
  <si>
    <t>Target 2027/28</t>
  </si>
  <si>
    <t>Mapped to net import duty target</t>
  </si>
  <si>
    <t>Mapped to net excise duty target</t>
  </si>
  <si>
    <t>Mapped to net VAT - imports target</t>
  </si>
  <si>
    <t>Import Declaration Fees</t>
  </si>
  <si>
    <t>Blank in supplied target sheet</t>
  </si>
  <si>
    <t>Aggregate Other Income Tax net of Turnover Tax</t>
  </si>
  <si>
    <t>Mapped from Excise Tax on Money Transfer</t>
  </si>
  <si>
    <t>DST</t>
  </si>
  <si>
    <t>Total Exchequer</t>
  </si>
  <si>
    <t>Exogenous total exchequer target</t>
  </si>
  <si>
    <t>Scenario</t>
  </si>
  <si>
    <t>Description</t>
  </si>
  <si>
    <t>Real GDP growth shock</t>
  </si>
  <si>
    <t>GDP deflator shock</t>
  </si>
  <si>
    <t>CPI shock</t>
  </si>
  <si>
    <t>Wage growth shock</t>
  </si>
  <si>
    <t>Import Value Growth shock</t>
  </si>
  <si>
    <t>Export Value Growth shock</t>
  </si>
  <si>
    <t>Non oil import value growth shock</t>
  </si>
  <si>
    <t>Oil volume shock</t>
  </si>
  <si>
    <t>Oil world price shock</t>
  </si>
  <si>
    <t>Profitability growth shock</t>
  </si>
  <si>
    <t>Exchange rate shock</t>
  </si>
  <si>
    <t>No shock / official baseline</t>
  </si>
  <si>
    <t>Reference row for baseline</t>
  </si>
  <si>
    <t>Severe_1m</t>
  </si>
  <si>
    <t>Severe Iran / Middle East conflict shock lasting about 1 month</t>
  </si>
  <si>
    <t>Short duration severe shock; editable</t>
  </si>
  <si>
    <t>Severe_3m</t>
  </si>
  <si>
    <t>Severe Iran / Middle East conflict shock lasting about 3 months</t>
  </si>
  <si>
    <t>Main short-to-medium conflict shock; editable</t>
  </si>
  <si>
    <t>Severe_gt3m</t>
  </si>
  <si>
    <t>Severe Iran / Middle East conflict shock lasting more than 3 months</t>
  </si>
  <si>
    <t>Extended conflict shock; editable</t>
  </si>
  <si>
    <t>Corrective_3m</t>
  </si>
  <si>
    <t>Conflict shock with corrective policy / adjustment response over about 3 months</t>
  </si>
  <si>
    <t>Use when mitigation offsets part of the severe case</t>
  </si>
  <si>
    <t>Corrective_gt3m</t>
  </si>
  <si>
    <t>Extended conflict shock with corrective policy / adjustment response</t>
  </si>
  <si>
    <t>Use when mitigation is phased over a longer duration</t>
  </si>
  <si>
    <t>Oil_spike_only</t>
  </si>
  <si>
    <t>Oil-only shock without broad shipping disruption</t>
  </si>
  <si>
    <t>Use for pure oil-price pass-through testing</t>
  </si>
  <si>
    <t>Shipping_disruption_only</t>
  </si>
  <si>
    <t>Trade / shipping disruption without standalone oil spike emphasis</t>
  </si>
  <si>
    <t>Use for logistics and imports-only testing</t>
  </si>
  <si>
    <t>Composite_Iran_War</t>
  </si>
  <si>
    <t>Combined oil, shipping, and macro spillover shock</t>
  </si>
  <si>
    <t>Main composite Iran-war scenario</t>
  </si>
  <si>
    <t>Tax head</t>
  </si>
  <si>
    <t>Projected Collection 2025/26</t>
  </si>
  <si>
    <t>Revenue Risk</t>
  </si>
  <si>
    <t>Check</t>
  </si>
  <si>
    <t>Result</t>
  </si>
  <si>
    <t>Comment</t>
  </si>
  <si>
    <t>Tax heads in Tax_Heads_Input</t>
  </si>
  <si>
    <t>Should match rows in Policy_Measures excluding header</t>
  </si>
  <si>
    <t>Tax heads in Policy_Measures</t>
  </si>
  <si>
    <t>Should match Tax_Heads_Input</t>
  </si>
  <si>
    <t>Selected year valid</t>
  </si>
  <si>
    <t>Control!B2 must be a supported forecast year</t>
  </si>
  <si>
    <t>Selected scenario exists</t>
  </si>
  <si>
    <t>Control!B3 must match a scenario row</t>
  </si>
  <si>
    <t>Control mode valid</t>
  </si>
  <si>
    <t>Mode must be baseline or improved</t>
  </si>
  <si>
    <t>Iran scenario rows present</t>
  </si>
  <si>
    <t>Required Iran conflict scenario set should exist</t>
  </si>
  <si>
    <t>Shock header set complete</t>
  </si>
  <si>
    <t>Core shock columns required for revenue simulation</t>
  </si>
  <si>
    <t>Blank target cells kept blank</t>
  </si>
  <si>
    <t>Blank targets are intentional and should not be coerced to zero</t>
  </si>
  <si>
    <t>Refund provision retained at 480</t>
  </si>
  <si>
    <t>Less Provision for Refunds should remain -480 unless intentionally changed</t>
  </si>
  <si>
    <t>Baseline row no shock</t>
  </si>
  <si>
    <t>Baseline row should remain all-zero unless intentionally redefined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</si>
</sst>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#,##0;[Red]\(#,##0\);\-"/>
    <numFmt numFmtId="167" formatCode="0.0%;[Red]\(0.0%\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4DFEC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164" fontId="3" fillId="4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164" fontId="4" fillId="6" borderId="0" xfId="0" applyNumberFormat="1" applyFont="1" applyFill="1" applyAlignment="1">
      <alignment vertical="center" wrapText="1"/>
    </xf>
    <xf numFmtId="165" fontId="3" fillId="4" borderId="0" xfId="0" applyNumberFormat="1" applyFont="1" applyFill="1" applyAlignment="1">
      <alignment vertical="center" wrapText="1"/>
    </xf>
    <xf numFmtId="166" fontId="0" fillId="5" borderId="0" xfId="0" applyNumberFormat="1" applyFill="1" applyAlignment="1">
      <alignment vertical="center" wrapText="1"/>
    </xf>
    <xf numFmtId="166" fontId="3" fillId="4" borderId="0" xfId="0" applyNumberFormat="1" applyFont="1" applyFill="1" applyAlignment="1">
      <alignment vertical="center" wrapText="1"/>
    </xf>
    <xf numFmtId="166" fontId="0" fillId="4" borderId="0" xfId="0" applyNumberFormat="1" applyFill="1" applyAlignment="1">
      <alignment vertical="center" wrapText="1"/>
    </xf>
    <xf numFmtId="1" fontId="0" fillId="4" borderId="0" xfId="0" applyNumberFormat="1" applyFill="1" applyAlignment="1">
      <alignment vertical="center" wrapText="1"/>
    </xf>
    <xf numFmtId="0" fontId="0" fillId="0" borderId="0" xfId="0" applyAlignment="1">
      <alignment vertical="top" wrapText="1"/>
    </xf>
    <xf numFmtId="167" fontId="3" fillId="4" borderId="0" xfId="0" applyNumberFormat="1" applyFont="1" applyFill="1" applyAlignment="1">
      <alignment vertical="center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6" sqref="B6"/>
    </sheetView>
  </sheetViews>
  <sheetFormatPr defaultRowHeight="14.5" x14ac:dyDescent="0.35"/>
  <cols>
    <col min="1" max="1" width="24" customWidth="1"/>
    <col min="2" max="2" width="120" customWidth="1"/>
  </cols>
  <sheetData>
    <row r="1" spans="1:2" ht="16" customHeight="1" x14ac:dyDescent="0.35">
      <c r="A1" s="17" t="s">
        <v>0</v>
      </c>
      <c r="B1" s="18"/>
    </row>
    <row r="2" spans="1:2" ht="24" customHeight="1" x14ac:dyDescent="0.35">
      <c r="A2" s="3" t="s">
        <v>1</v>
      </c>
      <c r="B2" s="2" t="s">
        <v>2</v>
      </c>
    </row>
    <row r="3" spans="1:2" ht="24" customHeight="1" x14ac:dyDescent="0.35">
      <c r="A3" s="3" t="s">
        <v>3</v>
      </c>
      <c r="B3" s="2" t="s">
        <v>4</v>
      </c>
    </row>
    <row r="4" spans="1:2" ht="24" customHeight="1" x14ac:dyDescent="0.35">
      <c r="A4" s="3" t="s">
        <v>5</v>
      </c>
      <c r="B4" s="2" t="s">
        <v>6</v>
      </c>
    </row>
    <row r="5" spans="1:2" ht="24" customHeight="1" x14ac:dyDescent="0.35">
      <c r="A5" s="3" t="s">
        <v>7</v>
      </c>
      <c r="B5" s="2" t="s">
        <v>8</v>
      </c>
    </row>
    <row r="6" spans="1:2" ht="24" customHeight="1" x14ac:dyDescent="0.35">
      <c r="A6" s="3" t="s">
        <v>9</v>
      </c>
      <c r="B6" s="2" t="s">
        <v>10</v>
      </c>
    </row>
    <row r="7" spans="1:2" ht="24" customHeight="1" x14ac:dyDescent="0.35">
      <c r="A7" s="3" t="s">
        <v>11</v>
      </c>
      <c r="B7" s="2" t="s">
        <v>12</v>
      </c>
    </row>
    <row r="8" spans="1:2" ht="24" customHeight="1" x14ac:dyDescent="0.35">
      <c r="A8" s="3" t="s">
        <v>13</v>
      </c>
      <c r="B8" s="2" t="s">
        <v>14</v>
      </c>
    </row>
    <row r="9" spans="1:2" ht="24" customHeight="1" x14ac:dyDescent="0.35">
      <c r="A9" s="3" t="s">
        <v>15</v>
      </c>
      <c r="B9" s="2" t="s">
        <v>16</v>
      </c>
    </row>
    <row r="10" spans="1:2" ht="24" customHeight="1" x14ac:dyDescent="0.35">
      <c r="A10" s="3" t="s">
        <v>17</v>
      </c>
      <c r="B10" s="2" t="s">
        <v>18</v>
      </c>
    </row>
    <row r="11" spans="1:2" ht="24" customHeight="1" x14ac:dyDescent="0.35">
      <c r="A11" s="3" t="s">
        <v>19</v>
      </c>
      <c r="B11" s="2" t="s">
        <v>20</v>
      </c>
    </row>
    <row r="12" spans="1:2" ht="24" customHeight="1" x14ac:dyDescent="0.35">
      <c r="A12" s="3" t="s">
        <v>21</v>
      </c>
      <c r="B12" s="2" t="s">
        <v>22</v>
      </c>
    </row>
    <row r="13" spans="1:2" ht="24" customHeight="1" x14ac:dyDescent="0.35">
      <c r="A13" s="3" t="s">
        <v>23</v>
      </c>
      <c r="B13" s="2" t="s">
        <v>24</v>
      </c>
    </row>
    <row r="14" spans="1:2" ht="29" x14ac:dyDescent="0.35">
      <c r="A14" s="3" t="s">
        <v>25</v>
      </c>
      <c r="B14" s="2" t="s">
        <v>26</v>
      </c>
    </row>
    <row r="15" spans="1:2" x14ac:dyDescent="0.35">
      <c r="A15" s="3" t="s">
        <v>27</v>
      </c>
      <c r="B15" s="2" t="s">
        <v>28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5" x14ac:dyDescent="0.35"/>
  <cols>
    <col min="1" max="1" width="24" customWidth="1"/>
    <col min="2" max="2" width="46" customWidth="1"/>
  </cols>
  <sheetData>
    <row r="1" spans="1:2" x14ac:dyDescent="0.35">
      <c r="A1" s="4" t="s">
        <v>29</v>
      </c>
      <c r="B1" s="4" t="s">
        <v>30</v>
      </c>
    </row>
    <row r="2" spans="1:2" x14ac:dyDescent="0.35">
      <c r="A2" s="3" t="s">
        <v>31</v>
      </c>
      <c r="B2" s="13" t="s">
        <v>32</v>
      </c>
    </row>
    <row r="3" spans="1:2" x14ac:dyDescent="0.35">
      <c r="A3" s="3" t="s">
        <v>33</v>
      </c>
      <c r="B3" s="13" t="s">
        <v>34</v>
      </c>
    </row>
    <row r="4" spans="1:2" x14ac:dyDescent="0.35">
      <c r="A4" s="3" t="s">
        <v>35</v>
      </c>
      <c r="B4" s="13" t="s">
        <v>36</v>
      </c>
    </row>
    <row r="5" spans="1:2" ht="19.399999999999999" customHeight="1" x14ac:dyDescent="0.35">
      <c r="A5" s="3" t="s">
        <v>37</v>
      </c>
      <c r="B5" s="13" t="s">
        <v>32</v>
      </c>
    </row>
    <row r="6" spans="1:2" x14ac:dyDescent="0.35">
      <c r="A6" s="3" t="s">
        <v>38</v>
      </c>
      <c r="B6" s="13" t="s">
        <v>39</v>
      </c>
    </row>
    <row r="7" spans="1:2" x14ac:dyDescent="0.35">
      <c r="A7" s="3" t="s">
        <v>40</v>
      </c>
      <c r="B7" s="13" t="s">
        <v>41</v>
      </c>
    </row>
    <row r="8" spans="1:2" x14ac:dyDescent="0.35">
      <c r="A8" s="3" t="s">
        <v>42</v>
      </c>
      <c r="B8" s="13">
        <v>3</v>
      </c>
    </row>
    <row r="9" spans="1:2" x14ac:dyDescent="0.35">
      <c r="A9" s="3" t="s">
        <v>43</v>
      </c>
      <c r="B9" s="13" t="s">
        <v>44</v>
      </c>
    </row>
    <row r="10" spans="1:2" ht="24" customHeight="1" x14ac:dyDescent="0.35">
      <c r="A10" s="3" t="s">
        <v>45</v>
      </c>
      <c r="B10" s="5" t="s">
        <v>46</v>
      </c>
    </row>
  </sheetData>
  <dataValidations count="7">
    <dataValidation type="list" sqref="B2 B5" xr:uid="{00000000-0002-0000-0100-000000000000}">
      <formula1>"2025/26,2026/27,2027/28"</formula1>
    </dataValidation>
    <dataValidation type="list" sqref="B3" xr:uid="{00000000-0002-0000-0100-000001000000}">
      <formula1>"Baseline,Severe_1m,Severe_3m,Severe_gt3m,Corrective_3m,Corrective_gt3m,Oil_spike_only,Shipping_disruption_only,Composite_Iran_War"</formula1>
    </dataValidation>
    <dataValidation type="list" sqref="B4" xr:uid="{00000000-0002-0000-0100-000002000000}">
      <formula1>"baseline,improved"</formula1>
    </dataValidation>
    <dataValidation type="list" sqref="B6" xr:uid="{00000000-0002-0000-0100-000003000000}">
      <formula1>"2024/25,2025/26"</formula1>
    </dataValidation>
    <dataValidation type="list" sqref="B7" xr:uid="{00000000-0002-0000-0100-000004000000}">
      <formula1>"remaining_only,full_year"</formula1>
    </dataValidation>
    <dataValidation type="list" sqref="B9" xr:uid="{00000000-0002-0000-0100-000005000000}">
      <formula1>"Y,N"</formula1>
    </dataValidation>
    <dataValidation type="whole" sqref="B8" xr:uid="{00000000-0002-0000-0100-000006000000}">
      <formula1>0</formula1>
      <formula2>12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/>
  </sheetViews>
  <sheetFormatPr defaultRowHeight="14.5" x14ac:dyDescent="0.35"/>
  <cols>
    <col min="1" max="1" width="32" customWidth="1"/>
    <col min="2" max="4" width="14" customWidth="1"/>
    <col min="5" max="5" width="12" customWidth="1"/>
    <col min="6" max="6" width="45" customWidth="1"/>
  </cols>
  <sheetData>
    <row r="1" spans="1:6" x14ac:dyDescent="0.35">
      <c r="A1" s="4" t="s">
        <v>47</v>
      </c>
      <c r="B1" s="4" t="s">
        <v>32</v>
      </c>
      <c r="C1" s="4" t="s">
        <v>48</v>
      </c>
      <c r="D1" s="4" t="s">
        <v>49</v>
      </c>
      <c r="E1" s="4" t="s">
        <v>50</v>
      </c>
      <c r="F1" s="4" t="s">
        <v>45</v>
      </c>
    </row>
    <row r="2" spans="1:6" ht="19.399999999999999" customHeight="1" x14ac:dyDescent="0.35">
      <c r="A2" s="3" t="s">
        <v>51</v>
      </c>
      <c r="B2" s="6">
        <v>5.5E-2</v>
      </c>
      <c r="C2" s="6">
        <v>5.2999999999999999E-2</v>
      </c>
      <c r="D2" s="6">
        <v>5.2999999999999999E-2</v>
      </c>
      <c r="E2" s="7" t="s">
        <v>52</v>
      </c>
      <c r="F2" s="2" t="s">
        <v>53</v>
      </c>
    </row>
    <row r="3" spans="1:6" x14ac:dyDescent="0.35">
      <c r="A3" s="3" t="s">
        <v>54</v>
      </c>
      <c r="B3" s="6">
        <v>5.7000000000000002E-2</v>
      </c>
      <c r="C3" s="6">
        <v>5.3999999999999999E-2</v>
      </c>
      <c r="D3" s="6">
        <v>5.3999999999999999E-2</v>
      </c>
      <c r="E3" s="7" t="s">
        <v>52</v>
      </c>
      <c r="F3" s="2" t="s">
        <v>55</v>
      </c>
    </row>
    <row r="4" spans="1:6" x14ac:dyDescent="0.35">
      <c r="A4" s="3" t="s">
        <v>56</v>
      </c>
      <c r="B4" s="8">
        <f>(1+B2)*(1+B3)-1</f>
        <v>0.11513499999999977</v>
      </c>
      <c r="C4" s="8">
        <f>(1+C2)*(1+C3)-1</f>
        <v>0.1098619999999999</v>
      </c>
      <c r="D4" s="8">
        <f>(1+D2)*(1+D3)-1</f>
        <v>0.1098619999999999</v>
      </c>
      <c r="E4" s="7" t="s">
        <v>57</v>
      </c>
      <c r="F4" s="2" t="s">
        <v>58</v>
      </c>
    </row>
    <row r="5" spans="1:6" x14ac:dyDescent="0.35">
      <c r="A5" s="3" t="s">
        <v>59</v>
      </c>
      <c r="B5" s="6">
        <v>0.05</v>
      </c>
      <c r="C5" s="6">
        <v>4.8000000000000001E-2</v>
      </c>
      <c r="D5" s="6">
        <v>4.8000000000000001E-2</v>
      </c>
      <c r="E5" s="7" t="s">
        <v>52</v>
      </c>
      <c r="F5" s="2" t="s">
        <v>55</v>
      </c>
    </row>
    <row r="6" spans="1:6" x14ac:dyDescent="0.35">
      <c r="A6" s="3" t="s">
        <v>60</v>
      </c>
      <c r="B6" s="8">
        <f>(1.009)*(1+B5)-1</f>
        <v>5.9450000000000003E-2</v>
      </c>
      <c r="C6" s="8">
        <f>(1.009)*(1+C5)-1</f>
        <v>5.7431999999999928E-2</v>
      </c>
      <c r="D6" s="8">
        <f>(1.009)*(1+D5)-1</f>
        <v>5.7431999999999928E-2</v>
      </c>
      <c r="E6" s="7" t="s">
        <v>57</v>
      </c>
      <c r="F6" s="2" t="s">
        <v>61</v>
      </c>
    </row>
    <row r="7" spans="1:6" x14ac:dyDescent="0.35">
      <c r="A7" s="3" t="s">
        <v>62</v>
      </c>
      <c r="B7" s="8">
        <f>B5</f>
        <v>0.05</v>
      </c>
      <c r="C7" s="8">
        <f>C5</f>
        <v>4.8000000000000001E-2</v>
      </c>
      <c r="D7" s="8">
        <f>D5</f>
        <v>4.8000000000000001E-2</v>
      </c>
      <c r="E7" s="7" t="s">
        <v>57</v>
      </c>
      <c r="F7" s="2" t="s">
        <v>63</v>
      </c>
    </row>
    <row r="8" spans="1:6" x14ac:dyDescent="0.35">
      <c r="A8" s="3" t="s">
        <v>64</v>
      </c>
      <c r="B8" s="6">
        <v>3.3000000000000002E-2</v>
      </c>
      <c r="C8" s="6">
        <v>3.3000000000000002E-2</v>
      </c>
      <c r="D8" s="6">
        <v>3.3000000000000002E-2</v>
      </c>
      <c r="E8" s="7" t="s">
        <v>52</v>
      </c>
      <c r="F8" s="2" t="s">
        <v>65</v>
      </c>
    </row>
    <row r="9" spans="1:6" x14ac:dyDescent="0.35">
      <c r="A9" s="3" t="s">
        <v>66</v>
      </c>
      <c r="B9" s="6">
        <v>3.1E-2</v>
      </c>
      <c r="C9" s="6">
        <v>3.1E-2</v>
      </c>
      <c r="D9" s="6">
        <v>3.1E-2</v>
      </c>
      <c r="E9" s="7" t="s">
        <v>52</v>
      </c>
      <c r="F9" s="2" t="s">
        <v>65</v>
      </c>
    </row>
    <row r="10" spans="1:6" x14ac:dyDescent="0.35">
      <c r="A10" s="3" t="s">
        <v>67</v>
      </c>
      <c r="B10" s="6">
        <v>0.06</v>
      </c>
      <c r="C10" s="6">
        <v>0.06</v>
      </c>
      <c r="D10" s="6">
        <v>0.06</v>
      </c>
      <c r="E10" s="7" t="s">
        <v>52</v>
      </c>
      <c r="F10" s="2" t="s">
        <v>68</v>
      </c>
    </row>
    <row r="11" spans="1:6" x14ac:dyDescent="0.35">
      <c r="A11" s="3" t="s">
        <v>69</v>
      </c>
      <c r="B11" s="6">
        <v>0.105</v>
      </c>
      <c r="C11" s="6">
        <v>0.105</v>
      </c>
      <c r="D11" s="6">
        <v>0.105</v>
      </c>
      <c r="E11" s="7" t="s">
        <v>52</v>
      </c>
      <c r="F11" s="2" t="s">
        <v>68</v>
      </c>
    </row>
    <row r="12" spans="1:6" x14ac:dyDescent="0.35">
      <c r="A12" s="3" t="s">
        <v>70</v>
      </c>
      <c r="B12" s="6">
        <v>0.06</v>
      </c>
      <c r="C12" s="6">
        <v>0.06</v>
      </c>
      <c r="D12" s="6">
        <v>0.06</v>
      </c>
      <c r="E12" s="7" t="s">
        <v>52</v>
      </c>
      <c r="F12" s="2" t="s">
        <v>71</v>
      </c>
    </row>
    <row r="13" spans="1:6" x14ac:dyDescent="0.35">
      <c r="A13" s="3" t="s">
        <v>72</v>
      </c>
      <c r="B13" s="6">
        <v>3.3000000000000002E-2</v>
      </c>
      <c r="C13" s="6">
        <v>3.3000000000000002E-2</v>
      </c>
      <c r="D13" s="6">
        <v>3.3000000000000002E-2</v>
      </c>
      <c r="E13" s="7" t="s">
        <v>52</v>
      </c>
      <c r="F13" s="2" t="s">
        <v>55</v>
      </c>
    </row>
    <row r="14" spans="1:6" x14ac:dyDescent="0.35">
      <c r="A14" s="3" t="s">
        <v>73</v>
      </c>
      <c r="B14" s="6">
        <v>1.2999999999999999E-2</v>
      </c>
      <c r="C14" s="6">
        <v>1.2999999999999999E-2</v>
      </c>
      <c r="D14" s="6">
        <v>1.2999999999999999E-2</v>
      </c>
      <c r="E14" s="7" t="s">
        <v>52</v>
      </c>
      <c r="F14" s="2" t="s">
        <v>55</v>
      </c>
    </row>
    <row r="15" spans="1:6" x14ac:dyDescent="0.35">
      <c r="A15" s="3" t="s">
        <v>74</v>
      </c>
      <c r="B15" s="8">
        <f>(1+B13)*(1+B14)-1</f>
        <v>4.6428999999999832E-2</v>
      </c>
      <c r="C15" s="8">
        <f>(1+C13)*(1+C14)-1</f>
        <v>4.6428999999999832E-2</v>
      </c>
      <c r="D15" s="8">
        <f>(1+D13)*(1+D14)-1</f>
        <v>4.6428999999999832E-2</v>
      </c>
      <c r="E15" s="7" t="s">
        <v>57</v>
      </c>
      <c r="F15" s="2" t="s">
        <v>58</v>
      </c>
    </row>
    <row r="16" spans="1:6" ht="19.399999999999999" customHeight="1" x14ac:dyDescent="0.35">
      <c r="A16" s="3" t="s">
        <v>75</v>
      </c>
      <c r="B16" s="8">
        <f>B4</f>
        <v>0.11513499999999977</v>
      </c>
      <c r="C16" s="8">
        <f>C4</f>
        <v>0.1098619999999999</v>
      </c>
      <c r="D16" s="8">
        <f>D4</f>
        <v>0.1098619999999999</v>
      </c>
      <c r="E16" s="7" t="s">
        <v>57</v>
      </c>
      <c r="F16" s="2" t="s">
        <v>76</v>
      </c>
    </row>
    <row r="17" spans="1:6" x14ac:dyDescent="0.35">
      <c r="A17" s="3" t="s">
        <v>77</v>
      </c>
      <c r="B17" s="6">
        <v>0</v>
      </c>
      <c r="C17" s="6">
        <v>0</v>
      </c>
      <c r="D17" s="6">
        <v>0</v>
      </c>
      <c r="E17" s="7" t="s">
        <v>52</v>
      </c>
      <c r="F17" s="2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/>
  </sheetViews>
  <sheetFormatPr defaultRowHeight="14.5" x14ac:dyDescent="0.35"/>
  <cols>
    <col min="1" max="1" width="28" customWidth="1"/>
    <col min="2" max="2" width="12" customWidth="1"/>
    <col min="3" max="3" width="10" customWidth="1"/>
    <col min="4" max="4" width="60" customWidth="1"/>
  </cols>
  <sheetData>
    <row r="1" spans="1:4" x14ac:dyDescent="0.35">
      <c r="A1" s="4" t="s">
        <v>79</v>
      </c>
      <c r="B1" s="4" t="s">
        <v>30</v>
      </c>
      <c r="C1" s="4" t="s">
        <v>50</v>
      </c>
      <c r="D1" s="4" t="s">
        <v>45</v>
      </c>
    </row>
    <row r="2" spans="1:4" x14ac:dyDescent="0.35">
      <c r="A2" s="3" t="s">
        <v>80</v>
      </c>
      <c r="B2" s="9">
        <v>0.36099999999999999</v>
      </c>
      <c r="C2" s="7" t="s">
        <v>52</v>
      </c>
      <c r="D2" s="2" t="s">
        <v>81</v>
      </c>
    </row>
    <row r="3" spans="1:4" x14ac:dyDescent="0.35">
      <c r="A3" s="3" t="s">
        <v>82</v>
      </c>
      <c r="B3" s="9">
        <v>0.39700000000000002</v>
      </c>
      <c r="C3" s="7" t="s">
        <v>52</v>
      </c>
      <c r="D3" s="2" t="s">
        <v>83</v>
      </c>
    </row>
    <row r="4" spans="1:4" ht="19.399999999999999" customHeight="1" x14ac:dyDescent="0.35">
      <c r="A4" s="3" t="s">
        <v>84</v>
      </c>
      <c r="B4" s="9">
        <v>0.46300000000000002</v>
      </c>
      <c r="C4" s="7" t="s">
        <v>52</v>
      </c>
      <c r="D4" s="2" t="s">
        <v>85</v>
      </c>
    </row>
    <row r="5" spans="1:4" x14ac:dyDescent="0.35">
      <c r="A5" s="3" t="s">
        <v>86</v>
      </c>
      <c r="B5" s="9">
        <v>0.308</v>
      </c>
      <c r="C5" s="7" t="s">
        <v>52</v>
      </c>
      <c r="D5" s="2" t="s">
        <v>87</v>
      </c>
    </row>
    <row r="6" spans="1:4" x14ac:dyDescent="0.35">
      <c r="A6" s="3" t="s">
        <v>88</v>
      </c>
      <c r="B6" s="9">
        <v>0.38</v>
      </c>
      <c r="C6" s="7" t="s">
        <v>52</v>
      </c>
      <c r="D6" s="2" t="s">
        <v>89</v>
      </c>
    </row>
    <row r="7" spans="1:4" x14ac:dyDescent="0.35">
      <c r="A7" s="3" t="s">
        <v>90</v>
      </c>
      <c r="B7" s="9">
        <v>0.95699999999999996</v>
      </c>
      <c r="C7" s="7" t="s">
        <v>52</v>
      </c>
      <c r="D7" s="2" t="s">
        <v>91</v>
      </c>
    </row>
    <row r="8" spans="1:4" x14ac:dyDescent="0.35">
      <c r="A8" s="3" t="s">
        <v>92</v>
      </c>
      <c r="B8" s="9">
        <v>0.47899999999999998</v>
      </c>
      <c r="C8" s="7" t="s">
        <v>52</v>
      </c>
      <c r="D8" s="2" t="s">
        <v>93</v>
      </c>
    </row>
    <row r="9" spans="1:4" x14ac:dyDescent="0.35">
      <c r="A9" s="3" t="s">
        <v>94</v>
      </c>
      <c r="B9" s="9">
        <v>0.96</v>
      </c>
      <c r="C9" s="7" t="s">
        <v>52</v>
      </c>
      <c r="D9" s="2" t="s">
        <v>95</v>
      </c>
    </row>
    <row r="10" spans="1:4" x14ac:dyDescent="0.35">
      <c r="A10" s="3" t="s">
        <v>96</v>
      </c>
      <c r="B10" s="9">
        <v>0.95799999999999996</v>
      </c>
      <c r="C10" s="7" t="s">
        <v>52</v>
      </c>
      <c r="D10" s="2" t="s">
        <v>97</v>
      </c>
    </row>
    <row r="11" spans="1:4" x14ac:dyDescent="0.35">
      <c r="A11" s="3" t="s">
        <v>98</v>
      </c>
      <c r="B11" s="9">
        <v>0.45200000000000001</v>
      </c>
      <c r="C11" s="7" t="s">
        <v>52</v>
      </c>
      <c r="D11" s="2" t="s">
        <v>99</v>
      </c>
    </row>
    <row r="12" spans="1:4" x14ac:dyDescent="0.35">
      <c r="A12" s="3" t="s">
        <v>100</v>
      </c>
      <c r="B12" s="9">
        <v>0.61899999999999999</v>
      </c>
      <c r="C12" s="7" t="s">
        <v>52</v>
      </c>
      <c r="D12" s="2" t="s">
        <v>101</v>
      </c>
    </row>
    <row r="13" spans="1:4" x14ac:dyDescent="0.35">
      <c r="A13" s="3" t="s">
        <v>102</v>
      </c>
      <c r="B13" s="9">
        <v>0.24099999999999999</v>
      </c>
      <c r="C13" s="7" t="s">
        <v>52</v>
      </c>
      <c r="D13" s="2" t="s">
        <v>103</v>
      </c>
    </row>
    <row r="14" spans="1:4" x14ac:dyDescent="0.35">
      <c r="A14" s="3" t="s">
        <v>104</v>
      </c>
      <c r="B14" s="9">
        <v>0.27500000000000002</v>
      </c>
      <c r="C14" s="7" t="s">
        <v>52</v>
      </c>
      <c r="D14" s="2" t="s">
        <v>105</v>
      </c>
    </row>
    <row r="15" spans="1:4" x14ac:dyDescent="0.35">
      <c r="A15" s="3" t="s">
        <v>106</v>
      </c>
      <c r="B15" s="9">
        <v>1</v>
      </c>
      <c r="C15" s="7" t="s">
        <v>52</v>
      </c>
      <c r="D15" s="2" t="s">
        <v>107</v>
      </c>
    </row>
    <row r="16" spans="1:4" x14ac:dyDescent="0.35">
      <c r="A16" s="3" t="s">
        <v>108</v>
      </c>
      <c r="B16" s="9">
        <v>1</v>
      </c>
      <c r="C16" s="7" t="s">
        <v>52</v>
      </c>
      <c r="D16" s="2" t="s">
        <v>107</v>
      </c>
    </row>
    <row r="17" spans="1:4" x14ac:dyDescent="0.35">
      <c r="A17" s="3" t="s">
        <v>109</v>
      </c>
      <c r="B17" s="9">
        <v>1</v>
      </c>
      <c r="C17" s="7" t="s">
        <v>52</v>
      </c>
      <c r="D17" s="2" t="s">
        <v>110</v>
      </c>
    </row>
    <row r="18" spans="1:4" ht="19.399999999999999" customHeight="1" x14ac:dyDescent="0.35">
      <c r="A18" s="3" t="s">
        <v>111</v>
      </c>
      <c r="B18" s="9">
        <v>1</v>
      </c>
      <c r="C18" s="7" t="s">
        <v>52</v>
      </c>
      <c r="D18" s="2" t="s">
        <v>112</v>
      </c>
    </row>
    <row r="19" spans="1:4" x14ac:dyDescent="0.35">
      <c r="A19" s="3" t="s">
        <v>113</v>
      </c>
      <c r="B19" s="9">
        <v>1</v>
      </c>
      <c r="C19" s="7" t="s">
        <v>52</v>
      </c>
      <c r="D19" s="2" t="s">
        <v>114</v>
      </c>
    </row>
    <row r="20" spans="1:4" x14ac:dyDescent="0.35">
      <c r="A20" s="3" t="s">
        <v>115</v>
      </c>
      <c r="B20" s="9">
        <v>2.5000000000000001E-2</v>
      </c>
      <c r="C20" s="7" t="s">
        <v>52</v>
      </c>
      <c r="D20" s="2" t="s">
        <v>116</v>
      </c>
    </row>
    <row r="21" spans="1:4" x14ac:dyDescent="0.35">
      <c r="A21" t="s">
        <v>117</v>
      </c>
      <c r="B21">
        <v>-0.111945</v>
      </c>
      <c r="C21" t="s">
        <v>118</v>
      </c>
      <c r="D21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workbookViewId="0"/>
  </sheetViews>
  <sheetFormatPr defaultRowHeight="14.5" x14ac:dyDescent="0.35"/>
  <cols>
    <col min="1" max="2" width="14" customWidth="1"/>
    <col min="3" max="4" width="28" customWidth="1"/>
    <col min="5" max="5" width="14" customWidth="1"/>
    <col min="6" max="6" width="22.453125" customWidth="1"/>
    <col min="7" max="7" width="28" customWidth="1"/>
    <col min="8" max="8" width="22" customWidth="1"/>
    <col min="9" max="9" width="24" customWidth="1"/>
    <col min="10" max="10" width="22" customWidth="1"/>
    <col min="11" max="11" width="24" customWidth="1"/>
    <col min="12" max="12" width="22" customWidth="1"/>
    <col min="13" max="13" width="24" customWidth="1"/>
    <col min="14" max="14" width="22" customWidth="1"/>
    <col min="15" max="15" width="48" customWidth="1"/>
  </cols>
  <sheetData>
    <row r="1" spans="1:15" x14ac:dyDescent="0.35">
      <c r="A1" s="4" t="s">
        <v>120</v>
      </c>
      <c r="B1" s="4" t="s">
        <v>121</v>
      </c>
      <c r="C1" s="4" t="s">
        <v>122</v>
      </c>
      <c r="D1" s="4" t="s">
        <v>123</v>
      </c>
      <c r="E1" s="4" t="s">
        <v>124</v>
      </c>
      <c r="F1" s="4" t="s">
        <v>125</v>
      </c>
      <c r="G1" s="4" t="s">
        <v>126</v>
      </c>
      <c r="H1" s="4" t="s">
        <v>127</v>
      </c>
      <c r="I1" s="4" t="s">
        <v>128</v>
      </c>
      <c r="J1" s="4" t="s">
        <v>129</v>
      </c>
      <c r="K1" s="4" t="s">
        <v>130</v>
      </c>
      <c r="L1" s="4" t="s">
        <v>131</v>
      </c>
      <c r="M1" s="4" t="s">
        <v>132</v>
      </c>
      <c r="N1" s="4" t="s">
        <v>133</v>
      </c>
      <c r="O1" s="4" t="s">
        <v>45</v>
      </c>
    </row>
    <row r="2" spans="1:15" ht="19.399999999999999" customHeight="1" x14ac:dyDescent="0.35">
      <c r="A2" s="2" t="s">
        <v>134</v>
      </c>
      <c r="B2" s="2" t="s">
        <v>135</v>
      </c>
      <c r="C2" s="2" t="s">
        <v>136</v>
      </c>
      <c r="D2" s="2" t="s">
        <v>137</v>
      </c>
      <c r="E2" s="10">
        <v>150992</v>
      </c>
      <c r="F2" s="2" t="s">
        <v>138</v>
      </c>
      <c r="G2" s="7" t="s">
        <v>70</v>
      </c>
      <c r="H2" s="7" t="s">
        <v>80</v>
      </c>
      <c r="I2" s="7" t="s">
        <v>74</v>
      </c>
      <c r="J2" s="7" t="s">
        <v>82</v>
      </c>
      <c r="K2" s="7" t="s">
        <v>70</v>
      </c>
      <c r="L2" s="7" t="s">
        <v>80</v>
      </c>
      <c r="M2" s="7" t="s">
        <v>74</v>
      </c>
      <c r="N2" s="7" t="s">
        <v>82</v>
      </c>
      <c r="O2" s="2" t="s">
        <v>139</v>
      </c>
    </row>
    <row r="3" spans="1:15" ht="19.399999999999999" customHeight="1" x14ac:dyDescent="0.35">
      <c r="A3" s="2" t="s">
        <v>134</v>
      </c>
      <c r="B3" s="2" t="s">
        <v>135</v>
      </c>
      <c r="C3" s="2" t="s">
        <v>140</v>
      </c>
      <c r="D3" s="2" t="s">
        <v>141</v>
      </c>
      <c r="E3" s="10">
        <v>90826</v>
      </c>
      <c r="F3" s="2" t="s">
        <v>142</v>
      </c>
      <c r="G3" s="7" t="s">
        <v>51</v>
      </c>
      <c r="H3" s="7" t="s">
        <v>100</v>
      </c>
      <c r="I3" s="7"/>
      <c r="J3" s="7"/>
      <c r="K3" s="7" t="s">
        <v>74</v>
      </c>
      <c r="L3" s="7" t="s">
        <v>100</v>
      </c>
      <c r="M3" s="7"/>
      <c r="N3" s="7"/>
      <c r="O3" s="2" t="s">
        <v>143</v>
      </c>
    </row>
    <row r="4" spans="1:15" ht="19.399999999999999" customHeight="1" x14ac:dyDescent="0.35">
      <c r="A4" s="2" t="s">
        <v>134</v>
      </c>
      <c r="B4" s="2" t="s">
        <v>135</v>
      </c>
      <c r="C4" s="2" t="s">
        <v>144</v>
      </c>
      <c r="D4" s="2" t="s">
        <v>141</v>
      </c>
      <c r="E4" s="10">
        <v>48707</v>
      </c>
      <c r="F4" s="2" t="s">
        <v>142</v>
      </c>
      <c r="G4" s="7" t="s">
        <v>70</v>
      </c>
      <c r="H4" s="7" t="s">
        <v>102</v>
      </c>
      <c r="I4" s="7"/>
      <c r="J4" s="7"/>
      <c r="K4" s="7" t="s">
        <v>70</v>
      </c>
      <c r="L4" s="7" t="s">
        <v>102</v>
      </c>
      <c r="M4" s="7"/>
      <c r="N4" s="7"/>
      <c r="O4" s="2"/>
    </row>
    <row r="5" spans="1:15" x14ac:dyDescent="0.35">
      <c r="A5" s="2" t="s">
        <v>134</v>
      </c>
      <c r="B5" s="2" t="s">
        <v>135</v>
      </c>
      <c r="C5" s="2" t="s">
        <v>145</v>
      </c>
      <c r="D5" s="2" t="s">
        <v>141</v>
      </c>
      <c r="E5" s="10">
        <v>-480</v>
      </c>
      <c r="F5" s="2" t="s">
        <v>146</v>
      </c>
      <c r="G5" s="7"/>
      <c r="H5" s="7"/>
      <c r="I5" s="7"/>
      <c r="J5" s="7"/>
      <c r="K5" s="7"/>
      <c r="L5" s="7"/>
      <c r="M5" s="7"/>
      <c r="N5" s="7"/>
      <c r="O5" s="2" t="s">
        <v>147</v>
      </c>
    </row>
    <row r="6" spans="1:15" ht="19.399999999999999" customHeight="1" x14ac:dyDescent="0.35">
      <c r="A6" s="2" t="s">
        <v>134</v>
      </c>
      <c r="B6" s="2" t="s">
        <v>135</v>
      </c>
      <c r="C6" s="2" t="s">
        <v>148</v>
      </c>
      <c r="D6" s="2" t="s">
        <v>149</v>
      </c>
      <c r="E6" s="10">
        <v>221030</v>
      </c>
      <c r="F6" s="2" t="s">
        <v>150</v>
      </c>
      <c r="G6" s="7" t="s">
        <v>70</v>
      </c>
      <c r="H6" s="7" t="s">
        <v>86</v>
      </c>
      <c r="I6" s="7"/>
      <c r="J6" s="7"/>
      <c r="K6" s="7" t="s">
        <v>70</v>
      </c>
      <c r="L6" s="7" t="s">
        <v>86</v>
      </c>
      <c r="M6" s="7"/>
      <c r="N6" s="7"/>
      <c r="O6" s="2"/>
    </row>
    <row r="7" spans="1:15" x14ac:dyDescent="0.35">
      <c r="A7" s="2" t="s">
        <v>134</v>
      </c>
      <c r="B7" s="2" t="s">
        <v>135</v>
      </c>
      <c r="C7" s="2" t="s">
        <v>151</v>
      </c>
      <c r="D7" s="2" t="s">
        <v>149</v>
      </c>
      <c r="E7" s="10">
        <v>91611</v>
      </c>
      <c r="F7" s="2" t="s">
        <v>150</v>
      </c>
      <c r="G7" s="7" t="s">
        <v>51</v>
      </c>
      <c r="H7" s="7" t="s">
        <v>84</v>
      </c>
      <c r="I7" s="7"/>
      <c r="J7" s="7"/>
      <c r="K7" s="7" t="s">
        <v>74</v>
      </c>
      <c r="L7" s="7" t="s">
        <v>84</v>
      </c>
      <c r="M7" s="7"/>
      <c r="N7" s="7"/>
      <c r="O7" s="2" t="s">
        <v>152</v>
      </c>
    </row>
    <row r="8" spans="1:15" x14ac:dyDescent="0.35">
      <c r="A8" s="2" t="s">
        <v>134</v>
      </c>
      <c r="B8" s="2" t="s">
        <v>135</v>
      </c>
      <c r="C8" s="2" t="s">
        <v>153</v>
      </c>
      <c r="D8" s="2" t="s">
        <v>153</v>
      </c>
      <c r="E8" s="10">
        <v>1625</v>
      </c>
      <c r="F8" s="2" t="s">
        <v>154</v>
      </c>
      <c r="G8" s="7" t="s">
        <v>115</v>
      </c>
      <c r="H8" s="7"/>
      <c r="I8" s="7"/>
      <c r="J8" s="7"/>
      <c r="K8" s="7" t="s">
        <v>115</v>
      </c>
      <c r="L8" s="7"/>
      <c r="M8" s="7"/>
      <c r="N8" s="7"/>
      <c r="O8" s="2" t="s">
        <v>155</v>
      </c>
    </row>
    <row r="9" spans="1:15" x14ac:dyDescent="0.35">
      <c r="A9" s="2" t="s">
        <v>134</v>
      </c>
      <c r="B9" s="2" t="s">
        <v>135</v>
      </c>
      <c r="C9" s="2" t="s">
        <v>156</v>
      </c>
      <c r="D9" s="2" t="s">
        <v>156</v>
      </c>
      <c r="E9" s="10">
        <v>51327</v>
      </c>
      <c r="F9" s="2" t="s">
        <v>150</v>
      </c>
      <c r="G9" s="7" t="s">
        <v>67</v>
      </c>
      <c r="H9" s="7" t="s">
        <v>106</v>
      </c>
      <c r="I9" s="7"/>
      <c r="J9" s="7"/>
      <c r="K9" s="7" t="s">
        <v>67</v>
      </c>
      <c r="L9" s="7" t="s">
        <v>106</v>
      </c>
      <c r="M9" s="7"/>
      <c r="N9" s="7"/>
      <c r="O9" s="2"/>
    </row>
    <row r="10" spans="1:15" ht="19.399999999999999" customHeight="1" x14ac:dyDescent="0.35">
      <c r="A10" s="2" t="s">
        <v>134</v>
      </c>
      <c r="B10" s="2" t="s">
        <v>135</v>
      </c>
      <c r="C10" s="2" t="s">
        <v>157</v>
      </c>
      <c r="D10" s="2" t="s">
        <v>157</v>
      </c>
      <c r="E10" s="10">
        <v>1786</v>
      </c>
      <c r="F10" s="2" t="s">
        <v>150</v>
      </c>
      <c r="G10" s="7" t="s">
        <v>69</v>
      </c>
      <c r="H10" s="7" t="s">
        <v>109</v>
      </c>
      <c r="I10" s="7"/>
      <c r="J10" s="7"/>
      <c r="K10" s="7" t="s">
        <v>69</v>
      </c>
      <c r="L10" s="7" t="s">
        <v>109</v>
      </c>
      <c r="M10" s="7"/>
      <c r="N10" s="7"/>
      <c r="O10" s="2"/>
    </row>
    <row r="11" spans="1:15" x14ac:dyDescent="0.35">
      <c r="A11" s="2" t="s">
        <v>134</v>
      </c>
      <c r="B11" s="2" t="s">
        <v>135</v>
      </c>
      <c r="C11" s="2" t="s">
        <v>158</v>
      </c>
      <c r="D11" s="2" t="s">
        <v>158</v>
      </c>
      <c r="E11" s="10">
        <v>49617</v>
      </c>
      <c r="F11" s="2" t="s">
        <v>150</v>
      </c>
      <c r="G11" s="7" t="s">
        <v>67</v>
      </c>
      <c r="H11" s="7" t="s">
        <v>108</v>
      </c>
      <c r="I11" s="7"/>
      <c r="J11" s="7"/>
      <c r="K11" s="7" t="s">
        <v>67</v>
      </c>
      <c r="L11" s="7" t="s">
        <v>108</v>
      </c>
      <c r="M11" s="7"/>
      <c r="N11" s="7"/>
      <c r="O11" s="2"/>
    </row>
    <row r="12" spans="1:15" ht="19.399999999999999" customHeight="1" x14ac:dyDescent="0.35">
      <c r="A12" s="2" t="s">
        <v>159</v>
      </c>
      <c r="B12" s="2" t="s">
        <v>135</v>
      </c>
      <c r="C12" s="2" t="s">
        <v>160</v>
      </c>
      <c r="D12" s="2" t="s">
        <v>160</v>
      </c>
      <c r="E12" s="10">
        <v>624600</v>
      </c>
      <c r="F12" s="2" t="s">
        <v>161</v>
      </c>
      <c r="G12" s="7" t="s">
        <v>60</v>
      </c>
      <c r="H12" s="7" t="s">
        <v>94</v>
      </c>
      <c r="I12" s="7" t="s">
        <v>62</v>
      </c>
      <c r="J12" s="7" t="s">
        <v>96</v>
      </c>
      <c r="K12" s="7" t="s">
        <v>60</v>
      </c>
      <c r="L12" s="7" t="s">
        <v>94</v>
      </c>
      <c r="M12" s="7" t="s">
        <v>62</v>
      </c>
      <c r="N12" s="7" t="s">
        <v>96</v>
      </c>
      <c r="O12" s="2"/>
    </row>
    <row r="13" spans="1:15" x14ac:dyDescent="0.35">
      <c r="A13" s="2" t="s">
        <v>159</v>
      </c>
      <c r="B13" s="2" t="s">
        <v>135</v>
      </c>
      <c r="C13" s="2" t="s">
        <v>99</v>
      </c>
      <c r="D13" s="2" t="s">
        <v>99</v>
      </c>
      <c r="E13" s="10">
        <v>498726</v>
      </c>
      <c r="F13" s="2" t="s">
        <v>150</v>
      </c>
      <c r="G13" s="7" t="s">
        <v>56</v>
      </c>
      <c r="H13" s="7" t="s">
        <v>98</v>
      </c>
      <c r="I13" s="7"/>
      <c r="J13" s="7"/>
      <c r="K13" s="7" t="s">
        <v>56</v>
      </c>
      <c r="L13" s="7" t="s">
        <v>98</v>
      </c>
      <c r="M13" s="7"/>
      <c r="N13" s="7"/>
      <c r="O13" s="2" t="s">
        <v>162</v>
      </c>
    </row>
    <row r="14" spans="1:15" x14ac:dyDescent="0.35">
      <c r="A14" s="2" t="s">
        <v>159</v>
      </c>
      <c r="B14" s="2" t="s">
        <v>135</v>
      </c>
      <c r="C14" s="2" t="s">
        <v>163</v>
      </c>
      <c r="D14" s="2" t="s">
        <v>163</v>
      </c>
      <c r="E14" s="10">
        <v>6427</v>
      </c>
      <c r="F14" s="2" t="s">
        <v>150</v>
      </c>
      <c r="G14" s="7" t="s">
        <v>56</v>
      </c>
      <c r="H14" s="7" t="s">
        <v>98</v>
      </c>
      <c r="I14" s="7"/>
      <c r="J14" s="7"/>
      <c r="K14" s="7" t="s">
        <v>56</v>
      </c>
      <c r="L14" s="7" t="s">
        <v>98</v>
      </c>
      <c r="M14" s="7"/>
      <c r="N14" s="7"/>
      <c r="O14" s="2"/>
    </row>
    <row r="15" spans="1:15" x14ac:dyDescent="0.35">
      <c r="A15" s="2" t="s">
        <v>159</v>
      </c>
      <c r="B15" s="2" t="s">
        <v>135</v>
      </c>
      <c r="C15" s="2" t="s">
        <v>164</v>
      </c>
      <c r="D15" s="2" t="s">
        <v>164</v>
      </c>
      <c r="E15" s="10">
        <v>334436</v>
      </c>
      <c r="F15" s="2" t="s">
        <v>165</v>
      </c>
      <c r="G15" s="7" t="s">
        <v>56</v>
      </c>
      <c r="H15" s="7" t="s">
        <v>88</v>
      </c>
      <c r="I15" s="7"/>
      <c r="J15" s="7"/>
      <c r="K15" s="7" t="s">
        <v>56</v>
      </c>
      <c r="L15" s="7" t="s">
        <v>88</v>
      </c>
      <c r="M15" s="7"/>
      <c r="N15" s="7"/>
      <c r="O15" s="2" t="s">
        <v>166</v>
      </c>
    </row>
    <row r="16" spans="1:15" x14ac:dyDescent="0.35">
      <c r="A16" s="2" t="s">
        <v>159</v>
      </c>
      <c r="B16" s="2" t="s">
        <v>135</v>
      </c>
      <c r="C16" s="2" t="s">
        <v>167</v>
      </c>
      <c r="D16" s="2" t="s">
        <v>167</v>
      </c>
      <c r="E16" s="10">
        <v>74658</v>
      </c>
      <c r="F16" s="2" t="s">
        <v>168</v>
      </c>
      <c r="G16" s="7" t="s">
        <v>56</v>
      </c>
      <c r="H16" s="7" t="s">
        <v>104</v>
      </c>
      <c r="I16" s="7"/>
      <c r="J16" s="7"/>
      <c r="K16" s="7" t="s">
        <v>56</v>
      </c>
      <c r="L16" s="7" t="s">
        <v>104</v>
      </c>
      <c r="M16" s="7"/>
      <c r="N16" s="7"/>
      <c r="O16" s="2"/>
    </row>
    <row r="17" spans="1:15" x14ac:dyDescent="0.35">
      <c r="A17" s="2" t="s">
        <v>159</v>
      </c>
      <c r="B17" s="2" t="s">
        <v>135</v>
      </c>
      <c r="C17" s="2" t="s">
        <v>169</v>
      </c>
      <c r="D17" s="2" t="s">
        <v>169</v>
      </c>
      <c r="E17" s="10">
        <v>47233</v>
      </c>
      <c r="F17" s="2" t="s">
        <v>150</v>
      </c>
      <c r="G17" s="7" t="s">
        <v>56</v>
      </c>
      <c r="H17" s="7" t="s">
        <v>104</v>
      </c>
      <c r="I17" s="7"/>
      <c r="J17" s="7"/>
      <c r="K17" s="7" t="s">
        <v>56</v>
      </c>
      <c r="L17" s="7" t="s">
        <v>104</v>
      </c>
      <c r="M17" s="7"/>
      <c r="N17" s="7"/>
      <c r="O17" s="2" t="s">
        <v>170</v>
      </c>
    </row>
    <row r="18" spans="1:15" x14ac:dyDescent="0.35">
      <c r="A18" s="2" t="s">
        <v>159</v>
      </c>
      <c r="B18" s="2" t="s">
        <v>135</v>
      </c>
      <c r="C18" s="2" t="s">
        <v>171</v>
      </c>
      <c r="D18" s="2" t="s">
        <v>171</v>
      </c>
      <c r="E18" s="10">
        <v>48465</v>
      </c>
      <c r="F18" s="2" t="s">
        <v>172</v>
      </c>
      <c r="G18" s="7" t="s">
        <v>56</v>
      </c>
      <c r="H18" s="7" t="s">
        <v>104</v>
      </c>
      <c r="I18" s="7"/>
      <c r="J18" s="7"/>
      <c r="K18" s="7" t="s">
        <v>56</v>
      </c>
      <c r="L18" s="7" t="s">
        <v>104</v>
      </c>
      <c r="M18" s="7"/>
      <c r="N18" s="7"/>
      <c r="O18" s="2"/>
    </row>
    <row r="19" spans="1:15" x14ac:dyDescent="0.35">
      <c r="A19" s="2" t="s">
        <v>159</v>
      </c>
      <c r="B19" s="2" t="s">
        <v>135</v>
      </c>
      <c r="C19" s="2" t="s">
        <v>173</v>
      </c>
      <c r="D19" s="2" t="s">
        <v>173</v>
      </c>
      <c r="E19" s="10">
        <v>10504</v>
      </c>
      <c r="F19" s="2" t="s">
        <v>150</v>
      </c>
      <c r="G19" s="7" t="s">
        <v>56</v>
      </c>
      <c r="H19" s="7" t="s">
        <v>104</v>
      </c>
      <c r="I19" s="7"/>
      <c r="J19" s="7"/>
      <c r="K19" s="7" t="s">
        <v>56</v>
      </c>
      <c r="L19" s="7" t="s">
        <v>104</v>
      </c>
      <c r="M19" s="7"/>
      <c r="N19" s="7"/>
      <c r="O19" s="2"/>
    </row>
    <row r="20" spans="1:15" x14ac:dyDescent="0.35">
      <c r="A20" s="2" t="s">
        <v>159</v>
      </c>
      <c r="B20" s="2" t="s">
        <v>135</v>
      </c>
      <c r="C20" s="2" t="s">
        <v>174</v>
      </c>
      <c r="D20" s="2" t="s">
        <v>174</v>
      </c>
      <c r="E20" s="10">
        <v>4305</v>
      </c>
      <c r="F20" s="2" t="s">
        <v>150</v>
      </c>
      <c r="G20" s="7" t="s">
        <v>56</v>
      </c>
      <c r="H20" s="7" t="s">
        <v>104</v>
      </c>
      <c r="I20" s="7"/>
      <c r="J20" s="7"/>
      <c r="K20" s="7" t="s">
        <v>56</v>
      </c>
      <c r="L20" s="7" t="s">
        <v>104</v>
      </c>
      <c r="M20" s="7"/>
      <c r="N20" s="7"/>
      <c r="O20" s="2"/>
    </row>
    <row r="21" spans="1:15" x14ac:dyDescent="0.35">
      <c r="A21" s="2" t="s">
        <v>159</v>
      </c>
      <c r="B21" s="2" t="s">
        <v>135</v>
      </c>
      <c r="C21" s="2" t="s">
        <v>175</v>
      </c>
      <c r="D21" s="2" t="s">
        <v>175</v>
      </c>
      <c r="E21" s="10">
        <v>413</v>
      </c>
      <c r="F21" s="2" t="s">
        <v>150</v>
      </c>
      <c r="G21" s="7" t="s">
        <v>56</v>
      </c>
      <c r="H21" s="7" t="s">
        <v>104</v>
      </c>
      <c r="I21" s="7"/>
      <c r="J21" s="7"/>
      <c r="K21" s="7" t="s">
        <v>56</v>
      </c>
      <c r="L21" s="7" t="s">
        <v>104</v>
      </c>
      <c r="M21" s="7"/>
      <c r="N21" s="7"/>
      <c r="O21" s="2" t="s">
        <v>176</v>
      </c>
    </row>
    <row r="22" spans="1:15" x14ac:dyDescent="0.35">
      <c r="A22" s="2" t="s">
        <v>159</v>
      </c>
      <c r="B22" s="2" t="s">
        <v>135</v>
      </c>
      <c r="C22" s="2" t="s">
        <v>177</v>
      </c>
      <c r="D22" s="2" t="s">
        <v>177</v>
      </c>
      <c r="E22" s="10">
        <v>251</v>
      </c>
      <c r="F22" s="2" t="s">
        <v>150</v>
      </c>
      <c r="G22" s="7" t="s">
        <v>56</v>
      </c>
      <c r="H22" s="7" t="s">
        <v>111</v>
      </c>
      <c r="I22" s="7"/>
      <c r="J22" s="7"/>
      <c r="K22" s="7" t="s">
        <v>56</v>
      </c>
      <c r="L22" s="7" t="s">
        <v>111</v>
      </c>
      <c r="M22" s="7"/>
      <c r="N22" s="7"/>
      <c r="O22" s="2"/>
    </row>
    <row r="23" spans="1:15" x14ac:dyDescent="0.35">
      <c r="A23" s="2" t="s">
        <v>159</v>
      </c>
      <c r="B23" s="2" t="s">
        <v>135</v>
      </c>
      <c r="C23" s="2" t="s">
        <v>178</v>
      </c>
      <c r="D23" s="2" t="s">
        <v>178</v>
      </c>
      <c r="E23" s="10">
        <v>15292</v>
      </c>
      <c r="F23" s="2" t="s">
        <v>150</v>
      </c>
      <c r="G23" s="7" t="s">
        <v>56</v>
      </c>
      <c r="H23" s="7" t="s">
        <v>111</v>
      </c>
      <c r="I23" s="7"/>
      <c r="J23" s="7"/>
      <c r="K23" s="7" t="s">
        <v>56</v>
      </c>
      <c r="L23" s="7" t="s">
        <v>111</v>
      </c>
      <c r="M23" s="7"/>
      <c r="N23" s="7"/>
      <c r="O23" s="2"/>
    </row>
    <row r="24" spans="1:15" x14ac:dyDescent="0.35">
      <c r="A24" s="2" t="s">
        <v>159</v>
      </c>
      <c r="B24" s="2" t="s">
        <v>135</v>
      </c>
      <c r="C24" s="2" t="s">
        <v>179</v>
      </c>
      <c r="D24" s="2" t="s">
        <v>179</v>
      </c>
      <c r="E24" s="10">
        <v>16463</v>
      </c>
      <c r="F24" s="2" t="s">
        <v>150</v>
      </c>
      <c r="G24" s="7" t="s">
        <v>56</v>
      </c>
      <c r="H24" s="7" t="s">
        <v>111</v>
      </c>
      <c r="I24" s="7"/>
      <c r="J24" s="7"/>
      <c r="K24" s="7" t="s">
        <v>56</v>
      </c>
      <c r="L24" s="7" t="s">
        <v>111</v>
      </c>
      <c r="M24" s="7"/>
      <c r="N24" s="7"/>
      <c r="O24" s="2"/>
    </row>
    <row r="25" spans="1:15" x14ac:dyDescent="0.35">
      <c r="A25" s="2" t="s">
        <v>159</v>
      </c>
      <c r="B25" s="2" t="s">
        <v>135</v>
      </c>
      <c r="C25" s="2" t="s">
        <v>180</v>
      </c>
      <c r="D25" s="2" t="s">
        <v>180</v>
      </c>
      <c r="E25" s="10">
        <v>1575</v>
      </c>
      <c r="F25" s="2" t="s">
        <v>150</v>
      </c>
      <c r="G25" s="7" t="s">
        <v>56</v>
      </c>
      <c r="H25" s="7" t="s">
        <v>111</v>
      </c>
      <c r="I25" s="7"/>
      <c r="J25" s="7"/>
      <c r="K25" s="7" t="s">
        <v>56</v>
      </c>
      <c r="L25" s="7" t="s">
        <v>111</v>
      </c>
      <c r="M25" s="7"/>
      <c r="N25" s="7"/>
      <c r="O25" s="2"/>
    </row>
    <row r="26" spans="1:15" x14ac:dyDescent="0.35">
      <c r="A26" s="2" t="s">
        <v>159</v>
      </c>
      <c r="B26" s="2" t="s">
        <v>135</v>
      </c>
      <c r="C26" s="2" t="s">
        <v>181</v>
      </c>
      <c r="D26" s="2" t="s">
        <v>181</v>
      </c>
      <c r="E26" s="10">
        <v>16336</v>
      </c>
      <c r="F26" s="2" t="s">
        <v>182</v>
      </c>
      <c r="G26" s="7" t="s">
        <v>56</v>
      </c>
      <c r="H26" s="7" t="s">
        <v>111</v>
      </c>
      <c r="I26" s="7"/>
      <c r="J26" s="7"/>
      <c r="K26" s="7" t="s">
        <v>56</v>
      </c>
      <c r="L26" s="7" t="s">
        <v>111</v>
      </c>
      <c r="M26" s="7"/>
      <c r="N26" s="7"/>
      <c r="O26" s="2"/>
    </row>
    <row r="27" spans="1:15" x14ac:dyDescent="0.35">
      <c r="A27" s="2" t="s">
        <v>183</v>
      </c>
      <c r="B27" s="2" t="s">
        <v>135</v>
      </c>
      <c r="C27" s="2" t="s">
        <v>184</v>
      </c>
      <c r="D27" s="2" t="s">
        <v>184</v>
      </c>
      <c r="E27" s="10">
        <v>4897</v>
      </c>
      <c r="F27" s="2" t="s">
        <v>150</v>
      </c>
      <c r="G27" s="7" t="s">
        <v>51</v>
      </c>
      <c r="H27" s="7" t="s">
        <v>113</v>
      </c>
      <c r="I27" s="7"/>
      <c r="J27" s="7"/>
      <c r="K27" s="7" t="s">
        <v>56</v>
      </c>
      <c r="L27" s="7" t="s">
        <v>113</v>
      </c>
      <c r="M27" s="7"/>
      <c r="N27" s="7"/>
      <c r="O27" s="2" t="s">
        <v>185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7"/>
  <sheetViews>
    <sheetView workbookViewId="0"/>
  </sheetViews>
  <sheetFormatPr defaultRowHeight="14.5" x14ac:dyDescent="0.35"/>
  <cols>
    <col min="1" max="1" width="28" customWidth="1"/>
    <col min="2" max="3" width="12" customWidth="1"/>
    <col min="4" max="4" width="14" customWidth="1"/>
    <col min="5" max="6" width="12" customWidth="1"/>
    <col min="7" max="7" width="14" customWidth="1"/>
    <col min="8" max="9" width="12" customWidth="1"/>
    <col min="10" max="10" width="14" customWidth="1"/>
    <col min="11" max="11" width="40" customWidth="1"/>
  </cols>
  <sheetData>
    <row r="1" spans="1:11" ht="19.399999999999999" customHeight="1" x14ac:dyDescent="0.35">
      <c r="A1" s="4" t="s">
        <v>122</v>
      </c>
      <c r="B1" s="4" t="s">
        <v>186</v>
      </c>
      <c r="C1" s="4" t="s">
        <v>187</v>
      </c>
      <c r="D1" s="4" t="s">
        <v>188</v>
      </c>
      <c r="E1" s="4" t="s">
        <v>189</v>
      </c>
      <c r="F1" s="4" t="s">
        <v>190</v>
      </c>
      <c r="G1" s="4" t="s">
        <v>191</v>
      </c>
      <c r="H1" s="4" t="s">
        <v>192</v>
      </c>
      <c r="I1" s="4" t="s">
        <v>193</v>
      </c>
      <c r="J1" s="4" t="s">
        <v>194</v>
      </c>
      <c r="K1" s="4" t="s">
        <v>45</v>
      </c>
    </row>
    <row r="2" spans="1:11" x14ac:dyDescent="0.35">
      <c r="A2" s="2" t="s">
        <v>136</v>
      </c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2" t="s">
        <v>195</v>
      </c>
    </row>
    <row r="3" spans="1:11" x14ac:dyDescent="0.35">
      <c r="A3" s="2" t="s">
        <v>140</v>
      </c>
      <c r="B3" s="11">
        <v>0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2"/>
    </row>
    <row r="4" spans="1:11" x14ac:dyDescent="0.35">
      <c r="A4" s="2" t="s">
        <v>144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2"/>
    </row>
    <row r="5" spans="1:11" x14ac:dyDescent="0.35">
      <c r="A5" s="2" t="s">
        <v>145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2"/>
    </row>
    <row r="6" spans="1:11" x14ac:dyDescent="0.35">
      <c r="A6" s="2" t="s">
        <v>148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2"/>
    </row>
    <row r="7" spans="1:11" x14ac:dyDescent="0.35">
      <c r="A7" s="2" t="s">
        <v>151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2"/>
    </row>
    <row r="8" spans="1:11" x14ac:dyDescent="0.35">
      <c r="A8" s="2" t="s">
        <v>153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2"/>
    </row>
    <row r="9" spans="1:11" x14ac:dyDescent="0.35">
      <c r="A9" s="2" t="s">
        <v>156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2"/>
    </row>
    <row r="10" spans="1:11" ht="19.399999999999999" customHeight="1" x14ac:dyDescent="0.35">
      <c r="A10" s="2" t="s">
        <v>157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2"/>
    </row>
    <row r="11" spans="1:11" x14ac:dyDescent="0.35">
      <c r="A11" s="2" t="s">
        <v>158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2"/>
    </row>
    <row r="12" spans="1:11" x14ac:dyDescent="0.35">
      <c r="A12" s="2" t="s">
        <v>160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2"/>
    </row>
    <row r="13" spans="1:11" x14ac:dyDescent="0.35">
      <c r="A13" s="2" t="s">
        <v>99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2"/>
    </row>
    <row r="14" spans="1:11" x14ac:dyDescent="0.35">
      <c r="A14" s="2" t="s">
        <v>163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2"/>
    </row>
    <row r="15" spans="1:11" x14ac:dyDescent="0.35">
      <c r="A15" s="2" t="s">
        <v>164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2"/>
    </row>
    <row r="16" spans="1:11" x14ac:dyDescent="0.35">
      <c r="A16" s="2" t="s">
        <v>167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2"/>
    </row>
    <row r="17" spans="1:11" x14ac:dyDescent="0.35">
      <c r="A17" s="2" t="s">
        <v>169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2"/>
    </row>
    <row r="18" spans="1:11" x14ac:dyDescent="0.35">
      <c r="A18" s="2" t="s">
        <v>171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2"/>
    </row>
    <row r="19" spans="1:11" x14ac:dyDescent="0.35">
      <c r="A19" s="2" t="s">
        <v>173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2"/>
    </row>
    <row r="20" spans="1:11" x14ac:dyDescent="0.35">
      <c r="A20" s="2" t="s">
        <v>174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2"/>
    </row>
    <row r="21" spans="1:11" x14ac:dyDescent="0.35">
      <c r="A21" s="2" t="s">
        <v>175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2"/>
    </row>
    <row r="22" spans="1:11" x14ac:dyDescent="0.35">
      <c r="A22" s="2" t="s">
        <v>177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2"/>
    </row>
    <row r="23" spans="1:11" x14ac:dyDescent="0.35">
      <c r="A23" s="2" t="s">
        <v>178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2"/>
    </row>
    <row r="24" spans="1:11" x14ac:dyDescent="0.35">
      <c r="A24" s="2" t="s">
        <v>179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2"/>
    </row>
    <row r="25" spans="1:11" x14ac:dyDescent="0.35">
      <c r="A25" s="2" t="s">
        <v>180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2"/>
    </row>
    <row r="26" spans="1:11" x14ac:dyDescent="0.35">
      <c r="A26" s="2" t="s">
        <v>181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2"/>
    </row>
    <row r="27" spans="1:11" x14ac:dyDescent="0.35">
      <c r="A27" s="2" t="s">
        <v>184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/>
  </sheetViews>
  <sheetFormatPr defaultRowHeight="14.5" x14ac:dyDescent="0.35"/>
  <cols>
    <col min="1" max="1" width="32" customWidth="1"/>
    <col min="2" max="4" width="16" customWidth="1"/>
    <col min="5" max="5" width="40" customWidth="1"/>
  </cols>
  <sheetData>
    <row r="1" spans="1:5" x14ac:dyDescent="0.35">
      <c r="A1" s="4" t="s">
        <v>123</v>
      </c>
      <c r="B1" s="4" t="s">
        <v>196</v>
      </c>
      <c r="C1" s="4" t="s">
        <v>197</v>
      </c>
      <c r="D1" s="4" t="s">
        <v>198</v>
      </c>
      <c r="E1" s="4" t="s">
        <v>45</v>
      </c>
    </row>
    <row r="2" spans="1:5" x14ac:dyDescent="0.35">
      <c r="A2" s="2" t="s">
        <v>137</v>
      </c>
      <c r="B2" s="12">
        <v>162851</v>
      </c>
      <c r="C2" s="12">
        <v>179918</v>
      </c>
      <c r="D2" s="12">
        <v>208828</v>
      </c>
      <c r="E2" s="2" t="s">
        <v>199</v>
      </c>
    </row>
    <row r="3" spans="1:5" x14ac:dyDescent="0.35">
      <c r="A3" s="2" t="s">
        <v>141</v>
      </c>
      <c r="B3" s="12">
        <v>141678</v>
      </c>
      <c r="C3" s="12">
        <v>157374</v>
      </c>
      <c r="D3" s="12">
        <v>176494</v>
      </c>
      <c r="E3" s="2" t="s">
        <v>200</v>
      </c>
    </row>
    <row r="4" spans="1:5" x14ac:dyDescent="0.35">
      <c r="A4" s="2" t="s">
        <v>149</v>
      </c>
      <c r="B4" s="12">
        <v>388502</v>
      </c>
      <c r="C4" s="12">
        <v>378502</v>
      </c>
      <c r="D4" s="12">
        <v>552271</v>
      </c>
      <c r="E4" s="2" t="s">
        <v>201</v>
      </c>
    </row>
    <row r="5" spans="1:5" x14ac:dyDescent="0.35">
      <c r="A5" s="2" t="s">
        <v>153</v>
      </c>
      <c r="B5" s="12">
        <v>1449</v>
      </c>
      <c r="C5" s="12">
        <v>1046</v>
      </c>
      <c r="D5" s="12">
        <v>1153</v>
      </c>
      <c r="E5" s="2"/>
    </row>
    <row r="6" spans="1:5" x14ac:dyDescent="0.35">
      <c r="A6" s="2" t="s">
        <v>156</v>
      </c>
      <c r="B6" s="12">
        <v>60544</v>
      </c>
      <c r="C6" s="12">
        <v>68347</v>
      </c>
      <c r="D6" s="12">
        <v>74509</v>
      </c>
      <c r="E6" s="2" t="s">
        <v>202</v>
      </c>
    </row>
    <row r="7" spans="1:5" ht="19.399999999999999" customHeight="1" x14ac:dyDescent="0.35">
      <c r="A7" s="2" t="s">
        <v>157</v>
      </c>
      <c r="B7" s="12"/>
      <c r="C7" s="12"/>
      <c r="D7" s="12"/>
      <c r="E7" s="2" t="s">
        <v>203</v>
      </c>
    </row>
    <row r="8" spans="1:5" x14ac:dyDescent="0.35">
      <c r="A8" s="2" t="s">
        <v>158</v>
      </c>
      <c r="B8" s="12">
        <v>40694</v>
      </c>
      <c r="C8" s="12">
        <v>45000</v>
      </c>
      <c r="D8" s="12">
        <v>49700</v>
      </c>
      <c r="E8" s="2"/>
    </row>
    <row r="9" spans="1:5" x14ac:dyDescent="0.35">
      <c r="A9" s="2" t="s">
        <v>160</v>
      </c>
      <c r="B9" s="12">
        <v>652374</v>
      </c>
      <c r="C9" s="12">
        <v>749253</v>
      </c>
      <c r="D9" s="12">
        <v>829975</v>
      </c>
      <c r="E9" s="2"/>
    </row>
    <row r="10" spans="1:5" ht="19.399999999999999" customHeight="1" x14ac:dyDescent="0.35">
      <c r="A10" s="2" t="s">
        <v>99</v>
      </c>
      <c r="B10" s="12">
        <v>627445</v>
      </c>
      <c r="C10" s="12">
        <v>737161</v>
      </c>
      <c r="D10" s="12">
        <v>814326</v>
      </c>
      <c r="E10" s="2" t="s">
        <v>204</v>
      </c>
    </row>
    <row r="11" spans="1:5" x14ac:dyDescent="0.35">
      <c r="A11" s="2" t="s">
        <v>163</v>
      </c>
      <c r="B11" s="12">
        <v>5145</v>
      </c>
      <c r="C11" s="12">
        <v>5685</v>
      </c>
      <c r="D11" s="12">
        <v>6282</v>
      </c>
      <c r="E11" s="2"/>
    </row>
    <row r="12" spans="1:5" x14ac:dyDescent="0.35">
      <c r="A12" s="2" t="s">
        <v>164</v>
      </c>
      <c r="B12" s="12">
        <v>383202</v>
      </c>
      <c r="C12" s="12">
        <v>435658</v>
      </c>
      <c r="D12" s="12">
        <v>472044</v>
      </c>
      <c r="E12" s="2"/>
    </row>
    <row r="13" spans="1:5" x14ac:dyDescent="0.35">
      <c r="A13" s="2" t="s">
        <v>167</v>
      </c>
      <c r="B13" s="12">
        <v>77241</v>
      </c>
      <c r="C13" s="12">
        <v>85797</v>
      </c>
      <c r="D13" s="12">
        <v>96222</v>
      </c>
      <c r="E13" s="2"/>
    </row>
    <row r="14" spans="1:5" x14ac:dyDescent="0.35">
      <c r="A14" s="2" t="s">
        <v>169</v>
      </c>
      <c r="B14" s="12">
        <v>57695</v>
      </c>
      <c r="C14" s="12">
        <v>64086</v>
      </c>
      <c r="D14" s="12">
        <v>71873</v>
      </c>
      <c r="E14" s="2" t="s">
        <v>205</v>
      </c>
    </row>
    <row r="15" spans="1:5" x14ac:dyDescent="0.35">
      <c r="A15" s="2" t="s">
        <v>171</v>
      </c>
      <c r="B15" s="12">
        <v>44110</v>
      </c>
      <c r="C15" s="12">
        <v>48997</v>
      </c>
      <c r="D15" s="12">
        <v>54950</v>
      </c>
      <c r="E15" s="2"/>
    </row>
    <row r="16" spans="1:5" x14ac:dyDescent="0.35">
      <c r="A16" s="2" t="s">
        <v>173</v>
      </c>
      <c r="B16" s="12">
        <v>14808</v>
      </c>
      <c r="C16" s="12">
        <v>16448</v>
      </c>
      <c r="D16" s="12">
        <v>18446</v>
      </c>
      <c r="E16" s="2"/>
    </row>
    <row r="17" spans="1:5" x14ac:dyDescent="0.35">
      <c r="A17" s="2" t="s">
        <v>174</v>
      </c>
      <c r="B17" s="12">
        <v>11441</v>
      </c>
      <c r="C17" s="12">
        <v>11441</v>
      </c>
      <c r="D17" s="12">
        <v>10942</v>
      </c>
      <c r="E17" s="2"/>
    </row>
    <row r="18" spans="1:5" x14ac:dyDescent="0.35">
      <c r="A18" s="2" t="s">
        <v>175</v>
      </c>
      <c r="B18" s="12">
        <v>491</v>
      </c>
      <c r="C18" s="12">
        <v>579</v>
      </c>
      <c r="D18" s="12">
        <v>642</v>
      </c>
      <c r="E18" s="2" t="s">
        <v>206</v>
      </c>
    </row>
    <row r="19" spans="1:5" x14ac:dyDescent="0.35">
      <c r="A19" s="2" t="s">
        <v>177</v>
      </c>
      <c r="B19" s="12"/>
      <c r="C19" s="12"/>
      <c r="D19" s="12"/>
      <c r="E19" s="2" t="s">
        <v>203</v>
      </c>
    </row>
    <row r="20" spans="1:5" x14ac:dyDescent="0.35">
      <c r="A20" s="2" t="s">
        <v>178</v>
      </c>
      <c r="B20" s="12"/>
      <c r="C20" s="12"/>
      <c r="D20" s="12"/>
      <c r="E20" s="2" t="s">
        <v>203</v>
      </c>
    </row>
    <row r="21" spans="1:5" x14ac:dyDescent="0.35">
      <c r="A21" s="2" t="s">
        <v>179</v>
      </c>
      <c r="B21" s="12">
        <v>18660</v>
      </c>
      <c r="C21" s="12">
        <v>22001</v>
      </c>
      <c r="D21" s="12">
        <v>24371</v>
      </c>
      <c r="E21" s="2"/>
    </row>
    <row r="22" spans="1:5" x14ac:dyDescent="0.35">
      <c r="A22" s="2" t="s">
        <v>180</v>
      </c>
      <c r="B22" s="12">
        <v>507</v>
      </c>
      <c r="C22" s="12">
        <v>597</v>
      </c>
      <c r="D22" s="12">
        <v>662</v>
      </c>
      <c r="E22" s="2"/>
    </row>
    <row r="23" spans="1:5" x14ac:dyDescent="0.35">
      <c r="A23" s="2" t="s">
        <v>181</v>
      </c>
      <c r="B23" s="12"/>
      <c r="C23" s="12"/>
      <c r="D23" s="12"/>
      <c r="E23" s="2" t="s">
        <v>203</v>
      </c>
    </row>
    <row r="24" spans="1:5" x14ac:dyDescent="0.35">
      <c r="A24" s="2" t="s">
        <v>184</v>
      </c>
      <c r="B24" s="12">
        <v>3797</v>
      </c>
      <c r="C24" s="12">
        <v>5372</v>
      </c>
      <c r="D24" s="12">
        <v>6390</v>
      </c>
      <c r="E24" s="2"/>
    </row>
    <row r="25" spans="1:5" x14ac:dyDescent="0.35">
      <c r="A25" s="2" t="s">
        <v>207</v>
      </c>
      <c r="B25" s="12">
        <v>2692634</v>
      </c>
      <c r="C25" s="12">
        <v>3013263</v>
      </c>
      <c r="D25" s="12">
        <v>3470081</v>
      </c>
      <c r="E25" s="2" t="s">
        <v>208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"/>
  <sheetViews>
    <sheetView workbookViewId="0"/>
  </sheetViews>
  <sheetFormatPr defaultRowHeight="14.5" x14ac:dyDescent="0.35"/>
  <cols>
    <col min="1" max="1" width="24" customWidth="1"/>
    <col min="2" max="2" width="42" customWidth="1"/>
    <col min="3" max="4" width="18" customWidth="1"/>
    <col min="5" max="5" width="14" customWidth="1"/>
    <col min="6" max="6" width="16" customWidth="1"/>
    <col min="7" max="8" width="20" customWidth="1"/>
    <col min="9" max="9" width="24" customWidth="1"/>
    <col min="10" max="10" width="14" customWidth="1"/>
    <col min="11" max="11" width="16" customWidth="1"/>
    <col min="12" max="12" width="20" customWidth="1"/>
    <col min="13" max="13" width="16" customWidth="1"/>
    <col min="14" max="14" width="34" customWidth="1"/>
  </cols>
  <sheetData>
    <row r="1" spans="1:14" ht="19.399999999999999" customHeight="1" x14ac:dyDescent="0.35">
      <c r="A1" s="4" t="s">
        <v>209</v>
      </c>
      <c r="B1" s="4" t="s">
        <v>210</v>
      </c>
      <c r="C1" s="4" t="s">
        <v>211</v>
      </c>
      <c r="D1" s="4" t="s">
        <v>212</v>
      </c>
      <c r="E1" s="4" t="s">
        <v>213</v>
      </c>
      <c r="F1" s="4" t="s">
        <v>214</v>
      </c>
      <c r="G1" s="4" t="s">
        <v>215</v>
      </c>
      <c r="H1" s="4" t="s">
        <v>216</v>
      </c>
      <c r="I1" s="4" t="s">
        <v>217</v>
      </c>
      <c r="J1" s="4" t="s">
        <v>218</v>
      </c>
      <c r="K1" s="4" t="s">
        <v>219</v>
      </c>
      <c r="L1" s="4" t="s">
        <v>220</v>
      </c>
      <c r="M1" s="4" t="s">
        <v>221</v>
      </c>
      <c r="N1" s="4" t="s">
        <v>45</v>
      </c>
    </row>
    <row r="2" spans="1:14" x14ac:dyDescent="0.35">
      <c r="A2" s="2" t="s">
        <v>34</v>
      </c>
      <c r="B2" s="14" t="s">
        <v>222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4" t="s">
        <v>223</v>
      </c>
    </row>
    <row r="3" spans="1:14" ht="19.399999999999999" customHeight="1" x14ac:dyDescent="0.35">
      <c r="A3" s="2" t="s">
        <v>224</v>
      </c>
      <c r="B3" s="14" t="s">
        <v>225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4" t="s">
        <v>226</v>
      </c>
    </row>
    <row r="4" spans="1:14" ht="19.399999999999999" customHeight="1" x14ac:dyDescent="0.35">
      <c r="A4" s="2" t="s">
        <v>227</v>
      </c>
      <c r="B4" s="14" t="s">
        <v>228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4" t="s">
        <v>229</v>
      </c>
    </row>
    <row r="5" spans="1:14" ht="19.399999999999999" customHeight="1" x14ac:dyDescent="0.35">
      <c r="A5" s="2" t="s">
        <v>230</v>
      </c>
      <c r="B5" s="14" t="s">
        <v>231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4" t="s">
        <v>232</v>
      </c>
    </row>
    <row r="6" spans="1:14" ht="19.399999999999999" customHeight="1" x14ac:dyDescent="0.35">
      <c r="A6" s="2" t="s">
        <v>233</v>
      </c>
      <c r="B6" s="14" t="s">
        <v>234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4" t="s">
        <v>235</v>
      </c>
    </row>
    <row r="7" spans="1:14" ht="29" x14ac:dyDescent="0.35">
      <c r="A7" s="2" t="s">
        <v>236</v>
      </c>
      <c r="B7" s="14" t="s">
        <v>237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4" t="s">
        <v>238</v>
      </c>
    </row>
    <row r="8" spans="1:14" ht="29" x14ac:dyDescent="0.35">
      <c r="A8" s="2" t="s">
        <v>239</v>
      </c>
      <c r="B8" s="14" t="s">
        <v>240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4" t="s">
        <v>241</v>
      </c>
    </row>
    <row r="9" spans="1:14" ht="29" x14ac:dyDescent="0.35">
      <c r="A9" s="2" t="s">
        <v>242</v>
      </c>
      <c r="B9" s="14" t="s">
        <v>243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4" t="s">
        <v>244</v>
      </c>
    </row>
    <row r="10" spans="1:14" ht="29" x14ac:dyDescent="0.35">
      <c r="A10" s="2" t="s">
        <v>245</v>
      </c>
      <c r="B10" s="14" t="s">
        <v>246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4" t="s">
        <v>247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5"/>
  <sheetViews>
    <sheetView workbookViewId="0"/>
  </sheetViews>
  <sheetFormatPr defaultRowHeight="14.5" x14ac:dyDescent="0.35"/>
  <cols>
    <col min="1" max="1" width="32" customWidth="1"/>
    <col min="2" max="2" width="22" customWidth="1"/>
    <col min="3" max="3" width="18" customWidth="1"/>
    <col min="4" max="4" width="16" customWidth="1"/>
  </cols>
  <sheetData>
    <row r="1" spans="1:4" ht="19.399999999999999" customHeight="1" x14ac:dyDescent="0.35">
      <c r="A1" s="4" t="s">
        <v>248</v>
      </c>
      <c r="B1" s="4" t="s">
        <v>249</v>
      </c>
      <c r="C1" s="4" t="s">
        <v>196</v>
      </c>
      <c r="D1" s="4" t="s">
        <v>250</v>
      </c>
    </row>
    <row r="2" spans="1:4" x14ac:dyDescent="0.35">
      <c r="A2" s="2" t="s">
        <v>137</v>
      </c>
      <c r="B2" s="2"/>
      <c r="C2" s="2"/>
      <c r="D2" s="2"/>
    </row>
    <row r="3" spans="1:4" x14ac:dyDescent="0.35">
      <c r="A3" s="2" t="s">
        <v>141</v>
      </c>
      <c r="B3" s="2"/>
      <c r="C3" s="2"/>
      <c r="D3" s="2"/>
    </row>
    <row r="4" spans="1:4" x14ac:dyDescent="0.35">
      <c r="A4" s="2" t="s">
        <v>149</v>
      </c>
      <c r="B4" s="2"/>
      <c r="C4" s="2"/>
      <c r="D4" s="2"/>
    </row>
    <row r="5" spans="1:4" x14ac:dyDescent="0.35">
      <c r="A5" s="2" t="s">
        <v>153</v>
      </c>
      <c r="B5" s="2"/>
      <c r="C5" s="2"/>
      <c r="D5" s="2"/>
    </row>
    <row r="6" spans="1:4" x14ac:dyDescent="0.35">
      <c r="A6" s="2" t="s">
        <v>156</v>
      </c>
      <c r="B6" s="2"/>
      <c r="C6" s="2"/>
      <c r="D6" s="2"/>
    </row>
    <row r="7" spans="1:4" ht="19.399999999999999" customHeight="1" x14ac:dyDescent="0.35">
      <c r="A7" s="2" t="s">
        <v>157</v>
      </c>
      <c r="B7" s="2"/>
      <c r="C7" s="2"/>
      <c r="D7" s="2"/>
    </row>
    <row r="8" spans="1:4" x14ac:dyDescent="0.35">
      <c r="A8" s="2" t="s">
        <v>158</v>
      </c>
      <c r="B8" s="2"/>
      <c r="C8" s="2"/>
      <c r="D8" s="2"/>
    </row>
    <row r="9" spans="1:4" x14ac:dyDescent="0.35">
      <c r="A9" s="2" t="s">
        <v>160</v>
      </c>
      <c r="B9" s="2"/>
      <c r="C9" s="2"/>
      <c r="D9" s="2"/>
    </row>
    <row r="10" spans="1:4" x14ac:dyDescent="0.35">
      <c r="A10" s="2" t="s">
        <v>99</v>
      </c>
      <c r="B10" s="2"/>
      <c r="C10" s="2"/>
      <c r="D10" s="2"/>
    </row>
    <row r="11" spans="1:4" x14ac:dyDescent="0.35">
      <c r="A11" s="2" t="s">
        <v>163</v>
      </c>
      <c r="B11" s="2"/>
      <c r="C11" s="2"/>
      <c r="D11" s="2"/>
    </row>
    <row r="12" spans="1:4" x14ac:dyDescent="0.35">
      <c r="A12" s="2" t="s">
        <v>164</v>
      </c>
      <c r="B12" s="2"/>
      <c r="C12" s="2"/>
      <c r="D12" s="2"/>
    </row>
    <row r="13" spans="1:4" x14ac:dyDescent="0.35">
      <c r="A13" s="2" t="s">
        <v>167</v>
      </c>
      <c r="B13" s="2"/>
      <c r="C13" s="2"/>
      <c r="D13" s="2"/>
    </row>
    <row r="14" spans="1:4" x14ac:dyDescent="0.35">
      <c r="A14" s="2" t="s">
        <v>169</v>
      </c>
      <c r="B14" s="2"/>
      <c r="C14" s="2"/>
      <c r="D14" s="2"/>
    </row>
    <row r="15" spans="1:4" x14ac:dyDescent="0.35">
      <c r="A15" s="2" t="s">
        <v>171</v>
      </c>
      <c r="B15" s="2"/>
      <c r="C15" s="2"/>
      <c r="D15" s="2"/>
    </row>
    <row r="16" spans="1:4" x14ac:dyDescent="0.35">
      <c r="A16" s="2" t="s">
        <v>173</v>
      </c>
      <c r="B16" s="2"/>
      <c r="C16" s="2"/>
      <c r="D16" s="2"/>
    </row>
    <row r="17" spans="1:4" x14ac:dyDescent="0.35">
      <c r="A17" s="2" t="s">
        <v>174</v>
      </c>
      <c r="B17" s="2"/>
      <c r="C17" s="2"/>
      <c r="D17" s="2"/>
    </row>
    <row r="18" spans="1:4" x14ac:dyDescent="0.35">
      <c r="A18" s="2" t="s">
        <v>175</v>
      </c>
      <c r="B18" s="2"/>
      <c r="C18" s="2"/>
      <c r="D18" s="2"/>
    </row>
    <row r="19" spans="1:4" x14ac:dyDescent="0.35">
      <c r="A19" s="2" t="s">
        <v>177</v>
      </c>
      <c r="B19" s="2"/>
      <c r="C19" s="2"/>
      <c r="D19" s="2"/>
    </row>
    <row r="20" spans="1:4" x14ac:dyDescent="0.35">
      <c r="A20" s="2" t="s">
        <v>178</v>
      </c>
      <c r="B20" s="2"/>
      <c r="C20" s="2"/>
      <c r="D20" s="2"/>
    </row>
    <row r="21" spans="1:4" x14ac:dyDescent="0.35">
      <c r="A21" s="2" t="s">
        <v>179</v>
      </c>
      <c r="B21" s="2"/>
      <c r="C21" s="2"/>
      <c r="D21" s="2"/>
    </row>
    <row r="22" spans="1:4" x14ac:dyDescent="0.35">
      <c r="A22" s="2" t="s">
        <v>180</v>
      </c>
      <c r="B22" s="2"/>
      <c r="C22" s="2"/>
      <c r="D22" s="2"/>
    </row>
    <row r="23" spans="1:4" x14ac:dyDescent="0.35">
      <c r="A23" s="2" t="s">
        <v>181</v>
      </c>
      <c r="B23" s="2"/>
      <c r="C23" s="2"/>
      <c r="D23" s="2"/>
    </row>
    <row r="24" spans="1:4" x14ac:dyDescent="0.35">
      <c r="A24" s="2" t="s">
        <v>184</v>
      </c>
      <c r="B24" s="2"/>
      <c r="C24" s="2"/>
      <c r="D24" s="2"/>
    </row>
    <row r="25" spans="1:4" x14ac:dyDescent="0.35">
      <c r="A25" s="3" t="s">
        <v>207</v>
      </c>
      <c r="B25" s="2"/>
      <c r="C25" s="2"/>
      <c r="D25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workbookViewId="0"/>
  </sheetViews>
  <sheetFormatPr defaultRowHeight="14.5" x14ac:dyDescent="0.35"/>
  <cols>
    <col min="1" max="1" width="34" customWidth="1"/>
    <col min="2" max="2" width="20" customWidth="1"/>
    <col min="3" max="3" width="72" customWidth="1"/>
  </cols>
  <sheetData>
    <row r="1" spans="1:3" x14ac:dyDescent="0.35">
      <c r="A1" s="1" t="s">
        <v>251</v>
      </c>
      <c r="B1" s="1" t="s">
        <v>252</v>
      </c>
      <c r="C1" s="1" t="s">
        <v>253</v>
      </c>
    </row>
    <row r="2" spans="1:3" x14ac:dyDescent="0.35">
      <c r="A2" s="2" t="s">
        <v>254</v>
      </c>
      <c r="B2" s="2">
        <f>COUNTA(Tax_Heads_Input!$C$2:$C$200)</f>
        <v>26</v>
      </c>
      <c r="C2" s="16" t="s">
        <v>255</v>
      </c>
    </row>
    <row r="3" spans="1:3" x14ac:dyDescent="0.35">
      <c r="A3" s="2" t="s">
        <v>256</v>
      </c>
      <c r="B3" s="2">
        <f>COUNTA(Policy_Measures!$A$2:$A$200)</f>
        <v>26</v>
      </c>
      <c r="C3" s="16" t="s">
        <v>257</v>
      </c>
    </row>
    <row r="4" spans="1:3" x14ac:dyDescent="0.35">
      <c r="A4" s="2" t="s">
        <v>258</v>
      </c>
      <c r="B4" s="2" t="str">
        <f>IF(OR(Control!$B$2="2025/26",Control!$B$2="2026/27",Control!$B$2="2027/28"),"Yes","No")</f>
        <v>Yes</v>
      </c>
      <c r="C4" s="16" t="s">
        <v>259</v>
      </c>
    </row>
    <row r="5" spans="1:3" x14ac:dyDescent="0.35">
      <c r="A5" s="2" t="s">
        <v>260</v>
      </c>
      <c r="B5" s="2" t="str">
        <f>IF(COUNTIF(CGE_Scenarios!$A$2:$A$100,Control!$B$3)&gt;0,"Yes","No")</f>
        <v>Yes</v>
      </c>
      <c r="C5" s="16" t="s">
        <v>261</v>
      </c>
    </row>
    <row r="6" spans="1:3" x14ac:dyDescent="0.35">
      <c r="A6" s="2" t="s">
        <v>262</v>
      </c>
      <c r="B6" s="2" t="str">
        <f>IF(OR(Control!$B$4="baseline",Control!$B$4="improved"),"Yes","No")</f>
        <v>Yes</v>
      </c>
      <c r="C6" s="16" t="s">
        <v>263</v>
      </c>
    </row>
    <row r="7" spans="1:3" x14ac:dyDescent="0.35">
      <c r="A7" s="2" t="s">
        <v>264</v>
      </c>
      <c r="B7" s="2" t="str">
        <f>IF(AND(COUNTIF(CGE_Scenarios!$A:$A,"Severe_1m")&gt;0,COUNTIF(CGE_Scenarios!$A:$A,"Severe_3m")&gt;0,COUNTIF(CGE_Scenarios!$A:$A,"Severe_gt3m")&gt;0,COUNTIF(CGE_Scenarios!$A:$A,"Corrective_3m")&gt;0,COUNTIF(CGE_Scenarios!$A:$A,"Corrective_gt3m")&gt;0,COUNTIF(CGE_Scenarios!$A:$A,"Oil_spike_only")&gt;0,COUNTIF(CGE_Scenarios!$A:$A,"Shipping_disruption_only")&gt;0,COUNTIF(CGE_Scenarios!$A:$A,"Composite_Iran_War")&gt;0),"Yes","No")</f>
        <v>Yes</v>
      </c>
      <c r="C7" s="16" t="s">
        <v>265</v>
      </c>
    </row>
    <row r="8" spans="1:3" ht="19.399999999999999" customHeight="1" x14ac:dyDescent="0.35">
      <c r="A8" s="2" t="s">
        <v>266</v>
      </c>
      <c r="B8" s="2" t="str">
        <f>IF(COUNTA(CGE_Scenarios!$C$1:$M$1)=11,"Yes","No")</f>
        <v>Yes</v>
      </c>
      <c r="C8" s="16" t="s">
        <v>267</v>
      </c>
    </row>
    <row r="9" spans="1:3" x14ac:dyDescent="0.35">
      <c r="A9" s="2" t="s">
        <v>268</v>
      </c>
      <c r="B9" s="2" t="str">
        <f>IF(COUNTBLANK(Targets!$B$2:$D$200)&gt;0,"Yes","No")</f>
        <v>Yes</v>
      </c>
      <c r="C9" s="16" t="s">
        <v>269</v>
      </c>
    </row>
    <row r="10" spans="1:3" x14ac:dyDescent="0.35">
      <c r="A10" s="2" t="s">
        <v>270</v>
      </c>
      <c r="B10" s="2" t="str">
        <f>IF(ABS(INDEX(Tax_Heads_Input!$E$2:$E$200,MATCH("Less Provision for Refunds",Tax_Heads_Input!$C$2:$C$200,0))+480)&lt;0.0001,"Yes","No")</f>
        <v>Yes</v>
      </c>
      <c r="C10" s="16" t="s">
        <v>271</v>
      </c>
    </row>
    <row r="11" spans="1:3" x14ac:dyDescent="0.35">
      <c r="A11" s="2" t="s">
        <v>272</v>
      </c>
      <c r="B11" s="2" t="str">
        <f>IF(COUNTIF(CGE_Scenarios!$C$2:$M$2,0)=11,"Yes","No")</f>
        <v>Yes</v>
      </c>
      <c r="C11" s="16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Control</vt:lpstr>
      <vt:lpstr>Macro_Baseline</vt:lpstr>
      <vt:lpstr>Elasticities</vt:lpstr>
      <vt:lpstr>Tax_Heads_Input</vt:lpstr>
      <vt:lpstr>Policy_Measures</vt:lpstr>
      <vt:lpstr>Targets</vt:lpstr>
      <vt:lpstr>CGE_Scenarios</vt:lpstr>
      <vt:lpstr>Annex_Template</vt:lpstr>
      <vt:lpstr>Validation_Checks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</dc:creator>
  <cp:lastModifiedBy>cyrus mutuku</cp:lastModifiedBy>
  <dcterms:created xsi:type="dcterms:W3CDTF">2026-03-31T08:39:58Z</dcterms:created>
  <dcterms:modified xsi:type="dcterms:W3CDTF">2026-03-31T08:39:58Z</dcterms:modified>
</cp:coreProperties>
</file>